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00000000-0000-0000-0000-000000000000}"/>
  <workbookPr filterPrivacy="1" codeName="ThisWorkbook"/>
  <xr:revisionPtr revIDLastSave="2119" documentId="8_{18F413CF-27A9-4F14-8319-098F632070DA}" xr6:coauthVersionLast="47" xr6:coauthVersionMax="47" xr10:uidLastSave="{109DE602-B3B2-4E37-8D3A-A5AA738DAB90}"/>
  <workbookProtection workbookAlgorithmName="SHA-512" workbookHashValue="1+JQDmLHzJqfYvEqocXALD5mWnkqBtwRP9B16n1H5O7uKSyl1vYmyiCH/Pt09isWPR5D0kK9iy8K3gKlzCVJhQ==" workbookSaltValue="K7UOtKI9GDOFQPsXUkwGXQ==" workbookSpinCount="100000" lockStructure="1"/>
  <bookViews>
    <workbookView xWindow="-120" yWindow="-120" windowWidth="29040" windowHeight="17520" tabRatio="765" activeTab="5" xr2:uid="{00000000-000D-0000-FFFF-FFFF00000000}"/>
  </bookViews>
  <sheets>
    <sheet name="Information" sheetId="9" r:id="rId1"/>
    <sheet name=".625&quot;  Class A surface fires" sheetId="7" r:id="rId2"/>
    <sheet name="0.5&quot; Class B Machine Space" sheetId="1" r:id="rId3"/>
    <sheet name="0.5&quot; Class B Fuels Per NFPA 770" sheetId="16" r:id="rId4"/>
    <sheet name="General Design Equation" sheetId="10" r:id="rId5"/>
    <sheet name="V1000 Design" sheetId="13" r:id="rId6"/>
    <sheet name="Cylinder Pressure Data" sheetId="15" r:id="rId7"/>
    <sheet name="Cylinder Characteristic" sheetId="5" state="hidden" r:id="rId8"/>
    <sheet name="Emitters" sheetId="14" state="hidden" r:id="rId9"/>
    <sheet name="ACF" sheetId="4" state="hidden" r:id="rId10"/>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7" i="13" l="1"/>
  <c r="D23" i="13"/>
  <c r="D33" i="13" s="1"/>
  <c r="D13" i="13"/>
  <c r="D20" i="10"/>
  <c r="N49" i="10"/>
  <c r="D19" i="10"/>
  <c r="G4" i="14"/>
  <c r="M45" i="16"/>
  <c r="M44" i="16"/>
  <c r="E44" i="16"/>
  <c r="D44" i="16"/>
  <c r="M41" i="16"/>
  <c r="M40" i="16"/>
  <c r="M47" i="16"/>
  <c r="M50" i="16"/>
  <c r="D26" i="16"/>
  <c r="D39" i="16"/>
  <c r="D34" i="16"/>
  <c r="D27" i="16"/>
  <c r="D14" i="16"/>
  <c r="D15" i="16"/>
  <c r="D13" i="16"/>
  <c r="D36" i="16" s="1"/>
  <c r="H1" i="16"/>
  <c r="B4" i="5"/>
  <c r="B5" i="5"/>
  <c r="B6" i="5"/>
  <c r="B7" i="5"/>
  <c r="B8" i="5"/>
  <c r="B9" i="5"/>
  <c r="B10" i="5"/>
  <c r="B11" i="5"/>
  <c r="B12" i="5"/>
  <c r="B13" i="5"/>
  <c r="B14" i="5"/>
  <c r="B15" i="5"/>
  <c r="B16" i="5"/>
  <c r="B3" i="5"/>
  <c r="D4" i="5"/>
  <c r="D5" i="5"/>
  <c r="D6" i="5"/>
  <c r="D7" i="5"/>
  <c r="D8" i="5"/>
  <c r="D9" i="5"/>
  <c r="D3" i="5"/>
  <c r="D49" i="10"/>
  <c r="D44" i="10"/>
  <c r="D43" i="10"/>
  <c r="D28" i="10"/>
  <c r="D34" i="10"/>
  <c r="D35" i="10"/>
  <c r="D36" i="10"/>
  <c r="D27" i="10"/>
  <c r="F1" i="13"/>
  <c r="E1" i="10"/>
  <c r="H1" i="1"/>
  <c r="G1" i="7"/>
  <c r="D12" i="10"/>
  <c r="G10" i="14"/>
  <c r="G9" i="14"/>
  <c r="G13" i="14"/>
  <c r="G12" i="14"/>
  <c r="G11" i="14"/>
  <c r="G8" i="14"/>
  <c r="G3" i="14"/>
  <c r="G7" i="14"/>
  <c r="G6" i="14"/>
  <c r="G5" i="14"/>
  <c r="G2" i="14"/>
  <c r="N44" i="10"/>
  <c r="N51" i="10" s="1"/>
  <c r="N56" i="10" s="1"/>
  <c r="C47" i="10"/>
  <c r="C10" i="5"/>
  <c r="C8" i="5"/>
  <c r="D26" i="1"/>
  <c r="D39" i="1"/>
  <c r="D27" i="1"/>
  <c r="M41" i="1"/>
  <c r="M40" i="1"/>
  <c r="M47" i="1"/>
  <c r="M50" i="1"/>
  <c r="D29" i="13"/>
  <c r="M44" i="1"/>
  <c r="M40" i="7"/>
  <c r="M39" i="7"/>
  <c r="M46" i="7"/>
  <c r="D27" i="7"/>
  <c r="D26" i="7"/>
  <c r="D38" i="7"/>
  <c r="E25" i="13"/>
  <c r="D25" i="13"/>
  <c r="D21" i="13"/>
  <c r="E44" i="1"/>
  <c r="D44" i="1"/>
  <c r="M45" i="1"/>
  <c r="E43" i="7"/>
  <c r="D43" i="7"/>
  <c r="M44" i="7"/>
  <c r="D14" i="1"/>
  <c r="D15" i="1"/>
  <c r="D13" i="1"/>
  <c r="D14" i="7"/>
  <c r="D15" i="7"/>
  <c r="M47" i="7"/>
  <c r="D13" i="7"/>
  <c r="D33" i="7"/>
  <c r="D23" i="7"/>
  <c r="M49" i="7"/>
  <c r="D34" i="1"/>
  <c r="D28" i="7"/>
  <c r="D37" i="7"/>
  <c r="D29" i="7"/>
  <c r="D35" i="7"/>
  <c r="D39" i="7"/>
  <c r="D41" i="7"/>
  <c r="N45" i="10"/>
  <c r="D28" i="1"/>
  <c r="D29" i="1"/>
  <c r="D36" i="1"/>
  <c r="D40" i="1"/>
  <c r="D42" i="1"/>
  <c r="M48" i="1"/>
  <c r="D28" i="16"/>
  <c r="D29" i="16"/>
  <c r="D46" i="7"/>
  <c r="B47" i="7"/>
  <c r="D45" i="7"/>
  <c r="D48" i="7"/>
  <c r="D38" i="1"/>
  <c r="D46" i="1"/>
  <c r="D49" i="1"/>
  <c r="D47" i="1"/>
  <c r="D40" i="16" l="1"/>
  <c r="D42" i="16" s="1"/>
  <c r="D38" i="16"/>
  <c r="M48" i="16"/>
  <c r="N53" i="10"/>
  <c r="N54" i="10"/>
  <c r="N52" i="10"/>
  <c r="D40" i="10"/>
  <c r="D45" i="10" s="1"/>
  <c r="D48" i="10" s="1"/>
  <c r="D28" i="13"/>
  <c r="D31" i="13"/>
  <c r="D26" i="13"/>
  <c r="D46" i="16" l="1"/>
  <c r="D47" i="16"/>
  <c r="D49" i="16"/>
  <c r="D42" i="10"/>
  <c r="D52" i="10" s="1"/>
  <c r="D51" i="10" l="1"/>
  <c r="D54" i="10" s="1"/>
  <c r="D56" i="10" s="1"/>
  <c r="D53" i="10"/>
</calcChain>
</file>

<file path=xl/sharedStrings.xml><?xml version="1.0" encoding="utf-8"?>
<sst xmlns="http://schemas.openxmlformats.org/spreadsheetml/2006/main" count="658" uniqueCount="180">
  <si>
    <t>Volume</t>
  </si>
  <si>
    <t>V</t>
  </si>
  <si>
    <t>Altitude Correction Factor</t>
  </si>
  <si>
    <t>ACF</t>
  </si>
  <si>
    <t>Minimum Expected Temperature</t>
  </si>
  <si>
    <r>
      <t>T</t>
    </r>
    <r>
      <rPr>
        <vertAlign val="subscript"/>
        <sz val="11"/>
        <color theme="1"/>
        <rFont val="Calibri"/>
        <family val="2"/>
        <scheme val="minor"/>
      </rPr>
      <t>min</t>
    </r>
  </si>
  <si>
    <t>Maximum Expected Temperature</t>
  </si>
  <si>
    <r>
      <t>T</t>
    </r>
    <r>
      <rPr>
        <vertAlign val="subscript"/>
        <sz val="11"/>
        <color theme="1"/>
        <rFont val="Calibri"/>
        <family val="2"/>
        <scheme val="minor"/>
      </rPr>
      <t>max</t>
    </r>
  </si>
  <si>
    <t>Hybrid correction factor</t>
  </si>
  <si>
    <r>
      <t>H</t>
    </r>
    <r>
      <rPr>
        <vertAlign val="subscript"/>
        <sz val="11"/>
        <color theme="1"/>
        <rFont val="Calibri"/>
        <family val="2"/>
        <scheme val="minor"/>
      </rPr>
      <t>hybrid</t>
    </r>
  </si>
  <si>
    <r>
      <t>ft</t>
    </r>
    <r>
      <rPr>
        <vertAlign val="superscript"/>
        <sz val="11"/>
        <color theme="1"/>
        <rFont val="Calibri"/>
        <family val="2"/>
        <scheme val="minor"/>
      </rPr>
      <t>3</t>
    </r>
  </si>
  <si>
    <t>Nitrogen Concentration</t>
  </si>
  <si>
    <t>C</t>
  </si>
  <si>
    <r>
      <t>W</t>
    </r>
    <r>
      <rPr>
        <vertAlign val="subscript"/>
        <sz val="11"/>
        <color theme="1"/>
        <rFont val="Calibri"/>
        <family val="2"/>
        <scheme val="minor"/>
      </rPr>
      <t>cyl</t>
    </r>
  </si>
  <si>
    <t>Nitrogen Requirement</t>
  </si>
  <si>
    <r>
      <t>W</t>
    </r>
    <r>
      <rPr>
        <vertAlign val="subscript"/>
        <sz val="11"/>
        <color theme="1"/>
        <rFont val="Calibri"/>
        <family val="2"/>
        <scheme val="minor"/>
      </rPr>
      <t>N2 req</t>
    </r>
  </si>
  <si>
    <t>Number of Cylinders</t>
  </si>
  <si>
    <r>
      <t>n</t>
    </r>
    <r>
      <rPr>
        <vertAlign val="subscript"/>
        <sz val="11"/>
        <color theme="1"/>
        <rFont val="Calibri"/>
        <family val="2"/>
        <scheme val="minor"/>
      </rPr>
      <t>cylinder</t>
    </r>
  </si>
  <si>
    <r>
      <t>Q</t>
    </r>
    <r>
      <rPr>
        <vertAlign val="subscript"/>
        <sz val="11"/>
        <color theme="1"/>
        <rFont val="Calibri"/>
        <family val="2"/>
        <scheme val="minor"/>
      </rPr>
      <t>N2_min</t>
    </r>
  </si>
  <si>
    <t>Required Nitrogen Flow</t>
  </si>
  <si>
    <t>Design Discharge Time</t>
  </si>
  <si>
    <r>
      <t>t</t>
    </r>
    <r>
      <rPr>
        <vertAlign val="subscript"/>
        <sz val="11"/>
        <color theme="1"/>
        <rFont val="Calibri"/>
        <family val="2"/>
        <scheme val="minor"/>
      </rPr>
      <t>discharge</t>
    </r>
  </si>
  <si>
    <t>minutes</t>
  </si>
  <si>
    <r>
      <t>q</t>
    </r>
    <r>
      <rPr>
        <vertAlign val="subscript"/>
        <sz val="11"/>
        <color theme="1"/>
        <rFont val="Calibri"/>
        <family val="2"/>
        <scheme val="minor"/>
      </rPr>
      <t>N2</t>
    </r>
  </si>
  <si>
    <t>scfm</t>
  </si>
  <si>
    <t>Number of Emitters</t>
  </si>
  <si>
    <r>
      <t>n</t>
    </r>
    <r>
      <rPr>
        <vertAlign val="subscript"/>
        <sz val="11"/>
        <color theme="1"/>
        <rFont val="Calibri"/>
        <family val="2"/>
        <scheme val="minor"/>
      </rPr>
      <t>emitters</t>
    </r>
  </si>
  <si>
    <r>
      <t>t</t>
    </r>
    <r>
      <rPr>
        <vertAlign val="subscript"/>
        <sz val="11"/>
        <color theme="1"/>
        <rFont val="Calibri"/>
        <family val="2"/>
        <scheme val="minor"/>
      </rPr>
      <t>actual</t>
    </r>
  </si>
  <si>
    <t>emitters</t>
  </si>
  <si>
    <t>cylinders</t>
  </si>
  <si>
    <t xml:space="preserve">scf </t>
  </si>
  <si>
    <t>%</t>
  </si>
  <si>
    <t>Water Quantity</t>
  </si>
  <si>
    <t>Emitter Nitrogen Flow</t>
  </si>
  <si>
    <t>Emitter/ Flow Cartridge Water Flow</t>
  </si>
  <si>
    <r>
      <t>q</t>
    </r>
    <r>
      <rPr>
        <vertAlign val="subscript"/>
        <sz val="11"/>
        <color theme="1"/>
        <rFont val="Calibri"/>
        <family val="2"/>
        <scheme val="minor"/>
      </rPr>
      <t>water</t>
    </r>
  </si>
  <si>
    <t>gpm</t>
  </si>
  <si>
    <r>
      <t>W</t>
    </r>
    <r>
      <rPr>
        <vertAlign val="subscript"/>
        <sz val="11"/>
        <color theme="1"/>
        <rFont val="Calibri"/>
        <family val="2"/>
        <scheme val="minor"/>
      </rPr>
      <t>water</t>
    </r>
  </si>
  <si>
    <t>gallons</t>
  </si>
  <si>
    <t>Water Pipe Volume</t>
  </si>
  <si>
    <r>
      <t>W</t>
    </r>
    <r>
      <rPr>
        <vertAlign val="subscript"/>
        <sz val="11"/>
        <color theme="1"/>
        <rFont val="Calibri"/>
        <family val="2"/>
        <scheme val="minor"/>
      </rPr>
      <t>pipe</t>
    </r>
  </si>
  <si>
    <t>Minimum Water Tank Size</t>
  </si>
  <si>
    <r>
      <t>W</t>
    </r>
    <r>
      <rPr>
        <vertAlign val="subscript"/>
        <sz val="11"/>
        <color theme="1"/>
        <rFont val="Calibri"/>
        <family val="2"/>
        <scheme val="minor"/>
      </rPr>
      <t>tank</t>
    </r>
  </si>
  <si>
    <t>Water Tank Safety Factor</t>
  </si>
  <si>
    <r>
      <t>S.F.</t>
    </r>
    <r>
      <rPr>
        <vertAlign val="subscript"/>
        <sz val="11"/>
        <color theme="1"/>
        <rFont val="Calibri"/>
        <family val="2"/>
        <scheme val="minor"/>
      </rPr>
      <t>water</t>
    </r>
  </si>
  <si>
    <r>
      <t>S.F.</t>
    </r>
    <r>
      <rPr>
        <vertAlign val="subscript"/>
        <sz val="11"/>
        <color theme="1"/>
        <rFont val="Calibri"/>
        <family val="2"/>
        <scheme val="minor"/>
      </rPr>
      <t>N2</t>
    </r>
  </si>
  <si>
    <t>Nitrogen Safety Factor</t>
  </si>
  <si>
    <t>Design Results</t>
  </si>
  <si>
    <r>
      <t>W</t>
    </r>
    <r>
      <rPr>
        <vertAlign val="subscript"/>
        <sz val="11"/>
        <color theme="1"/>
        <rFont val="Calibri"/>
        <family val="2"/>
        <scheme val="minor"/>
      </rPr>
      <t>manifold</t>
    </r>
  </si>
  <si>
    <t>cf</t>
  </si>
  <si>
    <r>
      <t>p</t>
    </r>
    <r>
      <rPr>
        <vertAlign val="subscript"/>
        <sz val="11"/>
        <color theme="1"/>
        <rFont val="Calibri"/>
        <family val="2"/>
        <scheme val="minor"/>
      </rPr>
      <t>nitrogen</t>
    </r>
  </si>
  <si>
    <t>psig</t>
  </si>
  <si>
    <r>
      <t>W</t>
    </r>
    <r>
      <rPr>
        <vertAlign val="subscript"/>
        <sz val="11"/>
        <color theme="1"/>
        <rFont val="Calibri"/>
        <family val="2"/>
        <scheme val="minor"/>
      </rPr>
      <t>dist_pipe</t>
    </r>
  </si>
  <si>
    <t>Nitrogen Regulation cutoff Pressure</t>
  </si>
  <si>
    <r>
      <t>p</t>
    </r>
    <r>
      <rPr>
        <vertAlign val="subscript"/>
        <sz val="11"/>
        <color theme="1"/>
        <rFont val="Calibri"/>
        <family val="2"/>
        <scheme val="minor"/>
      </rPr>
      <t>cutoff</t>
    </r>
  </si>
  <si>
    <t>Elevation</t>
  </si>
  <si>
    <t xml:space="preserve">ft </t>
  </si>
  <si>
    <t>Elev</t>
  </si>
  <si>
    <t>Altitude</t>
  </si>
  <si>
    <t xml:space="preserve">ACF </t>
  </si>
  <si>
    <t>deg F</t>
  </si>
  <si>
    <t>High Pressure Piping Volume</t>
  </si>
  <si>
    <t>Pressure</t>
  </si>
  <si>
    <t>80L</t>
  </si>
  <si>
    <t>80L Usable</t>
  </si>
  <si>
    <t>80L total</t>
  </si>
  <si>
    <t>49L usable</t>
  </si>
  <si>
    <t>49L total</t>
  </si>
  <si>
    <t>Cylinder Size</t>
  </si>
  <si>
    <t>49L</t>
  </si>
  <si>
    <t>Low Pressure Piping Volume</t>
  </si>
  <si>
    <r>
      <t>O2%</t>
    </r>
    <r>
      <rPr>
        <vertAlign val="subscript"/>
        <sz val="11"/>
        <color theme="1"/>
        <rFont val="Calibri"/>
        <family val="2"/>
        <scheme val="minor"/>
      </rPr>
      <t>actual_maxT</t>
    </r>
  </si>
  <si>
    <t>Nitrogen Flooding Factor (STP)</t>
  </si>
  <si>
    <r>
      <t>X</t>
    </r>
    <r>
      <rPr>
        <vertAlign val="subscript"/>
        <sz val="11"/>
        <color theme="1"/>
        <rFont val="Calibri"/>
        <family val="2"/>
        <scheme val="minor"/>
      </rPr>
      <t>hybrid</t>
    </r>
  </si>
  <si>
    <t>Estimated Actual  Discharge Time</t>
  </si>
  <si>
    <t>Estimated Final O2 level (max Temp)</t>
  </si>
  <si>
    <t>Normal Expected Temperature</t>
  </si>
  <si>
    <r>
      <t>T</t>
    </r>
    <r>
      <rPr>
        <vertAlign val="subscript"/>
        <sz val="11"/>
        <color theme="1"/>
        <rFont val="Calibri"/>
        <family val="2"/>
        <scheme val="minor"/>
      </rPr>
      <t>nom</t>
    </r>
  </si>
  <si>
    <t>Estimated Final O2 level (nom Temp)</t>
  </si>
  <si>
    <t>Vortex System Size Estimator - General Design</t>
  </si>
  <si>
    <t>Refer to I-Vortex.1500 Design, Installation, and Maintainence Manual for system design guidelines</t>
  </si>
  <si>
    <t>Nominal Temperature</t>
  </si>
  <si>
    <t>Water Requirement</t>
  </si>
  <si>
    <t>Design Input</t>
  </si>
  <si>
    <t>Protected Space Specific Variables</t>
  </si>
  <si>
    <t>Hazard/Fuel Type Specific Variables</t>
  </si>
  <si>
    <t>Installation Specific Variables</t>
  </si>
  <si>
    <t>Cylinder Requirements</t>
  </si>
  <si>
    <t>Emitter Requirement</t>
  </si>
  <si>
    <t>Emitter Size</t>
  </si>
  <si>
    <t xml:space="preserve">5/8" Cavity Foil </t>
  </si>
  <si>
    <t>Water Flow cartridge</t>
  </si>
  <si>
    <t>System Performance</t>
  </si>
  <si>
    <t>Nominal expected Temperature</t>
  </si>
  <si>
    <t xml:space="preserve">1/2" Dome Foil </t>
  </si>
  <si>
    <t>Vortex System Size Estimator - Vortex 1000 system</t>
  </si>
  <si>
    <t>nominal Expected Temperature</t>
  </si>
  <si>
    <t xml:space="preserve">Estimated Final O2 level </t>
  </si>
  <si>
    <t>Iteration Tool</t>
  </si>
  <si>
    <t xml:space="preserve">Design Iteration Tool </t>
  </si>
  <si>
    <t>Design Recommendation</t>
  </si>
  <si>
    <t>Estimated Final O2 level (nominal temp)</t>
  </si>
  <si>
    <t>Estimated Final O2 level (max temp)</t>
  </si>
  <si>
    <t>Estimated Final O2 level (min temp)</t>
  </si>
  <si>
    <r>
      <t>O2%</t>
    </r>
    <r>
      <rPr>
        <vertAlign val="subscript"/>
        <sz val="11"/>
        <color theme="1"/>
        <rFont val="Calibri"/>
        <family val="2"/>
        <scheme val="minor"/>
      </rPr>
      <t>actual_nomT</t>
    </r>
  </si>
  <si>
    <t>Expected Temperature</t>
  </si>
  <si>
    <t>Estimated Final O2 level (nominal temperature)</t>
  </si>
  <si>
    <r>
      <t>O2%</t>
    </r>
    <r>
      <rPr>
        <vertAlign val="subscript"/>
        <sz val="11"/>
        <color theme="1"/>
        <rFont val="Calibri"/>
        <family val="2"/>
        <scheme val="minor"/>
      </rPr>
      <t>actual_minT</t>
    </r>
  </si>
  <si>
    <t>deg C</t>
  </si>
  <si>
    <t>Installation  Specific Parameters</t>
  </si>
  <si>
    <t>Blue Cells = User Adjustable Parameters For Design Iteration</t>
  </si>
  <si>
    <t>Estimated Design Results</t>
  </si>
  <si>
    <t>Design Iteration Tool</t>
  </si>
  <si>
    <t>Blue Cells = User Adjustable Parameters for Design Iteration</t>
  </si>
  <si>
    <t>water flow</t>
  </si>
  <si>
    <t>recommended pressure</t>
  </si>
  <si>
    <t>molar ratio</t>
  </si>
  <si>
    <t>Emitter</t>
  </si>
  <si>
    <t>Emitter Recommended Operating Pressure</t>
  </si>
  <si>
    <r>
      <t>P</t>
    </r>
    <r>
      <rPr>
        <vertAlign val="subscript"/>
        <sz val="11"/>
        <color theme="1"/>
        <rFont val="Calibri"/>
        <family val="2"/>
        <scheme val="minor"/>
      </rPr>
      <t>emitter</t>
    </r>
  </si>
  <si>
    <t xml:space="preserve">PSI </t>
  </si>
  <si>
    <t>Emitter Selected</t>
  </si>
  <si>
    <t>Vortex System Size Estimator - Total Flooding Class A Surface Fire Applications</t>
  </si>
  <si>
    <t xml:space="preserve">This sheet allows for adjustment to accommodate alternate emitter designs, discharge times, and flooding factors.  
Refer to the appropriate Vortex Design Manual </t>
  </si>
  <si>
    <t>Added elevations 0~-3000ft, added bulk tank calculations for V1000 design</t>
  </si>
  <si>
    <t>Created macro to open up to revision history sheet everytime</t>
  </si>
  <si>
    <r>
      <t xml:space="preserve">Orange Cells = User Input Required - </t>
    </r>
    <r>
      <rPr>
        <b/>
        <sz val="11"/>
        <color theme="1"/>
        <rFont val="Calibri"/>
        <family val="2"/>
        <scheme val="minor"/>
      </rPr>
      <t>Row D</t>
    </r>
  </si>
  <si>
    <r>
      <t xml:space="preserve">Light Orange = User Input Recommended - </t>
    </r>
    <r>
      <rPr>
        <b/>
        <sz val="11"/>
        <color theme="1"/>
        <rFont val="Calibri"/>
        <family val="2"/>
        <scheme val="minor"/>
      </rPr>
      <t>Row D</t>
    </r>
  </si>
  <si>
    <t xml:space="preserve">Added explanation that data gets entered in row D </t>
  </si>
  <si>
    <t>Changed 1/2" emitter flow to 145scfm in 0.5" Class B Fuels sheet</t>
  </si>
  <si>
    <t xml:space="preserve">Addded 3100, 3200, 3300 for nitrogen cylinder pressure </t>
  </si>
  <si>
    <t>Additional Discharge Time Required</t>
  </si>
  <si>
    <r>
      <t>t</t>
    </r>
    <r>
      <rPr>
        <vertAlign val="subscript"/>
        <sz val="11"/>
        <color theme="1"/>
        <rFont val="Calibri"/>
        <family val="2"/>
        <scheme val="minor"/>
      </rPr>
      <t>additional</t>
    </r>
  </si>
  <si>
    <t>Total Design Discharge Time</t>
  </si>
  <si>
    <t>Nitrogen Cylinder Fill Pressure @70F</t>
  </si>
  <si>
    <t>scf</t>
  </si>
  <si>
    <t>Bulk Storage</t>
  </si>
  <si>
    <t>Bulk Storage Requirements</t>
  </si>
  <si>
    <t>Nitrogen cylinder fill pressure not necessary for bulk storage</t>
  </si>
  <si>
    <t>Added button that displays cylinder fill pressure vs temperature graph</t>
  </si>
  <si>
    <t>Updated "Bulk Tank" to "Bulk Storage"</t>
  </si>
  <si>
    <t>Bulk Storage Nitrogen Capacity</t>
  </si>
  <si>
    <t>Refer to the Cylinder Pressure Data tab for Temperature effects on Nitrogen Pressure chart</t>
  </si>
  <si>
    <t>Usable Cylinder Volume</t>
  </si>
  <si>
    <t>Cylinder Volume</t>
  </si>
  <si>
    <r>
      <t>W</t>
    </r>
    <r>
      <rPr>
        <vertAlign val="subscript"/>
        <sz val="11"/>
        <color theme="1"/>
        <rFont val="Calibri"/>
        <family val="2"/>
        <scheme val="minor"/>
      </rPr>
      <t>usable cyl</t>
    </r>
  </si>
  <si>
    <t>N/A</t>
  </si>
  <si>
    <t>Vortex Project Estimator Spreadsheet</t>
  </si>
  <si>
    <t>3/8" @ 25 psi, 0.13 gpm</t>
  </si>
  <si>
    <t>(954) 3/8" @ 40 psi,  0.13 gpm</t>
  </si>
  <si>
    <t>(954) 3/8" @ 25 psi, 0.13 gpm</t>
  </si>
  <si>
    <t>(953) 1/4" @ 40 psi,  0.26 gpm</t>
  </si>
  <si>
    <t>(953) 1/8" @ 40 psi, 0.13 gpm</t>
  </si>
  <si>
    <t>(953) 5/8" @ 15 psi, 1.06 gpm</t>
  </si>
  <si>
    <t>(953) 1/2" @ 15 psi, 1.06 gpm</t>
  </si>
  <si>
    <t>(953) 1/4" @ 25 psi, 0.26 gpm</t>
  </si>
  <si>
    <t>(953) 1/4" @ 40 psi,  0.13 gpm</t>
  </si>
  <si>
    <t>5/8" @ 25 psi,   0.26 gpm</t>
  </si>
  <si>
    <t>1/2" @ 25 psi,   1.06 gpm</t>
  </si>
  <si>
    <t>3/8" @ 25 psi,   0.53 gpm</t>
  </si>
  <si>
    <t>3/8" @ 40 psi,  0.79 gpm</t>
  </si>
  <si>
    <t>3/8" @ 40 psi,  0.13 gpm</t>
  </si>
  <si>
    <t>1/4" @ 40 psi,  0.26 gpm</t>
  </si>
  <si>
    <t>1/8" @ 40 psi, 0.13 gpm</t>
  </si>
  <si>
    <t>5/8" @ 15 psi, 1.06 gpm</t>
  </si>
  <si>
    <t>5/8" @ 25 psi, 2.11 gpm</t>
  </si>
  <si>
    <t>1/2" @ 25 psi, 0.26 gpm</t>
  </si>
  <si>
    <t>1/4" @ 40 psi,  0.13 gpm</t>
  </si>
  <si>
    <t>(954) 5/8" @ 25 psi,   0.26 gpm</t>
  </si>
  <si>
    <t>(953) 1/2" @ 25 psi,   1.06 gpm</t>
  </si>
  <si>
    <t>(953) 3/8" @ 25 psi,   0.53 gpm</t>
  </si>
  <si>
    <t>(953) 3/8" @ 40 psi,  0.79 gpm</t>
  </si>
  <si>
    <t>Removed button for temp vs pressure, 
updated 5/8" flow rate to 230 scfm, 
updated elevation to be aligned with NFPA 770, 
removed nitrogen concentration and hybrid correction factor from V1000 design, 
added required nitrogen flow to V1000, 
updated usable nitrogen capacity for cylinders (usable capacities have been reduced), 
updated water requirement safety factor to 1.2 per NFPA 770 for class A and Class B hazards
Added "0.5" Class B Fuesl per NFPA 770" design tab</t>
  </si>
  <si>
    <t>For most current revision of this document visit the Victaulic Vortex Portal or contact Victaulic Applications Engineering</t>
  </si>
  <si>
    <t>Vortex System Size Estimator - Total Flooding Class B Machine Space Applications</t>
  </si>
  <si>
    <t>Vortex System Size Estimator - Total Flooding Class B Fuels Per NFPA 770 Applications</t>
  </si>
  <si>
    <t>Refer to I-Vortex.1000 Design, Installation, and Maintainence Manual for system design guidelines</t>
  </si>
  <si>
    <t>80L Nominal</t>
  </si>
  <si>
    <t>Design Emitter Flow</t>
  </si>
  <si>
    <t>Total Cylinder Capacity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</si>
</sst>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0.0"/>
    <numFmt numFmtId="165" formatCode="0.000"/>
  </numFmts>
  <fonts count="9" x14ac:knownFonts="1">
    <font>
      <sz val="11"/>
      <color theme="1"/>
      <name val="Calibri"/>
      <family val="2"/>
      <scheme val="minor"/>
    </font>
    <font>
      <vertAlign val="subscript"/>
      <sz val="11"/>
      <color theme="1"/>
      <name val="Calibri"/>
      <family val="2"/>
      <scheme val="minor"/>
    </font>
    <font>
      <vertAlign val="superscript"/>
      <sz val="11"/>
      <color theme="1"/>
      <name val="Calibri"/>
      <family val="2"/>
      <scheme val="minor"/>
    </font>
    <font>
      <sz val="10"/>
      <name val="Arial"/>
      <family val="2"/>
    </font>
    <font>
      <b/>
      <u/>
      <sz val="10"/>
      <name val="Arial"/>
      <family val="2"/>
    </font>
    <font>
      <sz val="16"/>
      <color theme="1"/>
      <name val="Calibri"/>
      <family val="2"/>
      <scheme val="minor"/>
    </font>
    <font>
      <b/>
      <sz val="11"/>
      <color theme="1"/>
      <name val="Calibri"/>
      <family val="2"/>
      <scheme val="minor"/>
    </font>
    <font>
      <b/>
      <sz val="11"/>
      <color rgb="FFFF0000"/>
      <name val="Calibri"/>
      <family val="2"/>
      <scheme val="minor"/>
    </font>
    <font>
      <sz val="14"/>
      <color theme="1"/>
      <name val="Calibri"/>
      <family val="2"/>
      <scheme val="minor"/>
    </font>
  </fonts>
  <fills count="12">
    <fill>
      <patternFill patternType="none"/>
    </fill>
    <fill>
      <patternFill patternType="gray125"/>
    </fill>
    <fill>
      <patternFill patternType="solid">
        <fgColor theme="5" tint="0.59999389629810485"/>
        <bgColor indexed="64"/>
      </patternFill>
    </fill>
    <fill>
      <patternFill patternType="solid">
        <fgColor theme="7" tint="0.39997558519241921"/>
        <bgColor indexed="64"/>
      </patternFill>
    </fill>
    <fill>
      <patternFill patternType="solid">
        <fgColor rgb="FFFFB547"/>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FFFF00"/>
        <bgColor indexed="64"/>
      </patternFill>
    </fill>
    <fill>
      <patternFill patternType="solid">
        <fgColor rgb="FF92D05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diagonal/>
    </border>
    <border>
      <left style="medium">
        <color indexed="64"/>
      </left>
      <right/>
      <top/>
      <bottom/>
      <diagonal/>
    </border>
    <border>
      <left style="medium">
        <color auto="1"/>
      </left>
      <right/>
      <top style="medium">
        <color auto="1"/>
      </top>
      <bottom/>
      <diagonal/>
    </border>
    <border>
      <left/>
      <right style="medium">
        <color auto="1"/>
      </right>
      <top style="medium">
        <color auto="1"/>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3">
    <xf numFmtId="0" fontId="0" fillId="0" borderId="0"/>
    <xf numFmtId="44" fontId="3" fillId="0" borderId="0" applyFont="0" applyFill="0" applyBorder="0" applyAlignment="0" applyProtection="0"/>
    <xf numFmtId="0" fontId="3" fillId="0" borderId="0"/>
  </cellStyleXfs>
  <cellXfs count="200">
    <xf numFmtId="0" fontId="0" fillId="0" borderId="0" xfId="0"/>
    <xf numFmtId="0" fontId="0" fillId="0" borderId="0" xfId="0" applyAlignment="1">
      <alignment horizontal="center" vertical="center" wrapText="1"/>
    </xf>
    <xf numFmtId="0" fontId="4" fillId="0" borderId="28" xfId="2" applyFont="1" applyBorder="1" applyAlignment="1">
      <alignment horizontal="center"/>
    </xf>
    <xf numFmtId="0" fontId="4" fillId="0" borderId="29" xfId="2" applyFont="1" applyBorder="1" applyAlignment="1">
      <alignment horizontal="center"/>
    </xf>
    <xf numFmtId="0" fontId="3" fillId="0" borderId="27" xfId="2" applyBorder="1" applyAlignment="1">
      <alignment horizontal="center"/>
    </xf>
    <xf numFmtId="0" fontId="3" fillId="0" borderId="30" xfId="2" applyBorder="1" applyAlignment="1">
      <alignment horizontal="center"/>
    </xf>
    <xf numFmtId="0" fontId="3" fillId="0" borderId="24" xfId="2" applyBorder="1" applyAlignment="1">
      <alignment horizontal="center"/>
    </xf>
    <xf numFmtId="0" fontId="3" fillId="0" borderId="31" xfId="2" applyBorder="1" applyAlignment="1">
      <alignment horizontal="center"/>
    </xf>
    <xf numFmtId="0" fontId="0" fillId="3" borderId="1" xfId="0" applyFill="1" applyBorder="1" applyProtection="1">
      <protection locked="0"/>
    </xf>
    <xf numFmtId="0" fontId="0" fillId="3" borderId="10" xfId="0" applyFill="1" applyBorder="1" applyProtection="1">
      <protection locked="0"/>
    </xf>
    <xf numFmtId="0" fontId="0" fillId="3" borderId="8" xfId="0" applyFill="1" applyBorder="1" applyProtection="1">
      <protection locked="0"/>
    </xf>
    <xf numFmtId="0" fontId="0" fillId="3" borderId="3" xfId="0" applyFill="1" applyBorder="1" applyProtection="1">
      <protection locked="0"/>
    </xf>
    <xf numFmtId="0" fontId="0" fillId="3" borderId="3" xfId="0" applyFill="1" applyBorder="1"/>
    <xf numFmtId="0" fontId="0" fillId="3" borderId="4" xfId="0" applyFill="1" applyBorder="1"/>
    <xf numFmtId="0" fontId="0" fillId="3" borderId="1" xfId="0" applyFill="1" applyBorder="1"/>
    <xf numFmtId="0" fontId="0" fillId="3" borderId="6" xfId="0" applyFill="1" applyBorder="1"/>
    <xf numFmtId="0" fontId="0" fillId="3" borderId="8" xfId="0" applyFill="1" applyBorder="1"/>
    <xf numFmtId="0" fontId="0" fillId="3" borderId="9" xfId="0" applyFill="1" applyBorder="1"/>
    <xf numFmtId="0" fontId="0" fillId="0" borderId="3" xfId="0" applyBorder="1"/>
    <xf numFmtId="0" fontId="0" fillId="0" borderId="4" xfId="0" applyBorder="1"/>
    <xf numFmtId="0" fontId="0" fillId="0" borderId="1" xfId="0" applyBorder="1"/>
    <xf numFmtId="0" fontId="0" fillId="0" borderId="6" xfId="0" applyBorder="1"/>
    <xf numFmtId="0" fontId="0" fillId="0" borderId="8" xfId="0" applyBorder="1"/>
    <xf numFmtId="0" fontId="0" fillId="0" borderId="9" xfId="0" applyBorder="1"/>
    <xf numFmtId="165" fontId="0" fillId="0" borderId="0" xfId="0" applyNumberFormat="1"/>
    <xf numFmtId="0" fontId="0" fillId="0" borderId="26" xfId="0" applyBorder="1" applyAlignment="1">
      <alignment horizontal="center" vertical="center" wrapText="1"/>
    </xf>
    <xf numFmtId="0" fontId="0" fillId="0" borderId="26" xfId="0" applyBorder="1"/>
    <xf numFmtId="0" fontId="0" fillId="4" borderId="1" xfId="0" applyFill="1" applyBorder="1"/>
    <xf numFmtId="0" fontId="0" fillId="0" borderId="2" xfId="0" applyBorder="1"/>
    <xf numFmtId="164" fontId="0" fillId="0" borderId="3" xfId="0" applyNumberFormat="1" applyBorder="1"/>
    <xf numFmtId="0" fontId="0" fillId="0" borderId="5" xfId="0" applyBorder="1"/>
    <xf numFmtId="164" fontId="0" fillId="0" borderId="1" xfId="0" applyNumberFormat="1" applyBorder="1"/>
    <xf numFmtId="0" fontId="0" fillId="2" borderId="5" xfId="0" applyFill="1" applyBorder="1"/>
    <xf numFmtId="0" fontId="0" fillId="2" borderId="1" xfId="0" applyFill="1" applyBorder="1"/>
    <xf numFmtId="164" fontId="0" fillId="2" borderId="1" xfId="0" applyNumberFormat="1" applyFill="1" applyBorder="1"/>
    <xf numFmtId="0" fontId="0" fillId="2" borderId="6" xfId="0" applyFill="1" applyBorder="1"/>
    <xf numFmtId="0" fontId="0" fillId="0" borderId="7" xfId="0" applyBorder="1"/>
    <xf numFmtId="164" fontId="0" fillId="0" borderId="8" xfId="0" applyNumberFormat="1" applyBorder="1"/>
    <xf numFmtId="0" fontId="0" fillId="5" borderId="3" xfId="0" applyFill="1" applyBorder="1"/>
    <xf numFmtId="0" fontId="0" fillId="5" borderId="4" xfId="0" applyFill="1" applyBorder="1"/>
    <xf numFmtId="0" fontId="0" fillId="5" borderId="1" xfId="0" applyFill="1" applyBorder="1"/>
    <xf numFmtId="0" fontId="0" fillId="5" borderId="6" xfId="0" applyFill="1" applyBorder="1"/>
    <xf numFmtId="0" fontId="0" fillId="5" borderId="8" xfId="0" applyFill="1" applyBorder="1"/>
    <xf numFmtId="0" fontId="0" fillId="5" borderId="9" xfId="0" applyFill="1" applyBorder="1"/>
    <xf numFmtId="0" fontId="0" fillId="2" borderId="3" xfId="0" applyFill="1" applyBorder="1"/>
    <xf numFmtId="0" fontId="0" fillId="2" borderId="4" xfId="0" applyFill="1" applyBorder="1"/>
    <xf numFmtId="0" fontId="0" fillId="2" borderId="8" xfId="0" applyFill="1" applyBorder="1"/>
    <xf numFmtId="165" fontId="0" fillId="2" borderId="8" xfId="0" applyNumberFormat="1" applyFill="1" applyBorder="1"/>
    <xf numFmtId="0" fontId="0" fillId="2" borderId="9" xfId="0" applyFill="1" applyBorder="1"/>
    <xf numFmtId="0" fontId="0" fillId="2" borderId="18" xfId="0" applyFill="1" applyBorder="1"/>
    <xf numFmtId="0" fontId="0" fillId="3" borderId="0" xfId="0" applyFill="1"/>
    <xf numFmtId="0" fontId="0" fillId="0" borderId="0" xfId="0" applyAlignment="1">
      <alignment vertical="center"/>
    </xf>
    <xf numFmtId="0" fontId="5" fillId="0" borderId="0" xfId="0" applyFont="1" applyAlignment="1">
      <alignment horizontal="left" vertical="center"/>
    </xf>
    <xf numFmtId="0" fontId="0" fillId="3" borderId="2" xfId="0" applyFill="1" applyBorder="1"/>
    <xf numFmtId="0" fontId="0" fillId="3" borderId="5" xfId="0" applyFill="1" applyBorder="1"/>
    <xf numFmtId="0" fontId="0" fillId="3" borderId="22" xfId="0" applyFill="1" applyBorder="1"/>
    <xf numFmtId="0" fontId="0" fillId="3" borderId="7" xfId="0" applyFill="1" applyBorder="1"/>
    <xf numFmtId="0" fontId="0" fillId="0" borderId="0" xfId="0" applyAlignment="1">
      <alignment vertical="center" wrapText="1"/>
    </xf>
    <xf numFmtId="0" fontId="0" fillId="4" borderId="0" xfId="0" applyFill="1"/>
    <xf numFmtId="165" fontId="0" fillId="3" borderId="8" xfId="0" applyNumberFormat="1" applyFill="1" applyBorder="1" applyProtection="1">
      <protection locked="0"/>
    </xf>
    <xf numFmtId="0" fontId="5" fillId="0" borderId="0" xfId="0" applyFont="1" applyAlignment="1">
      <alignment vertical="center"/>
    </xf>
    <xf numFmtId="0" fontId="5" fillId="0" borderId="0" xfId="0" applyFont="1" applyAlignment="1">
      <alignment horizontal="center" vertical="center" wrapText="1"/>
    </xf>
    <xf numFmtId="0" fontId="0" fillId="0" borderId="0" xfId="0" applyAlignment="1">
      <alignment horizontal="left" vertical="top"/>
    </xf>
    <xf numFmtId="0" fontId="0" fillId="0" borderId="28" xfId="0" applyBorder="1" applyAlignment="1">
      <alignment horizontal="center" vertical="center"/>
    </xf>
    <xf numFmtId="0" fontId="0" fillId="0" borderId="26" xfId="0" applyBorder="1" applyAlignment="1">
      <alignment horizontal="center" vertical="center"/>
    </xf>
    <xf numFmtId="0" fontId="0" fillId="0" borderId="0" xfId="0" applyAlignment="1">
      <alignment horizontal="center" vertical="center"/>
    </xf>
    <xf numFmtId="0" fontId="0" fillId="6" borderId="5" xfId="0" applyFill="1" applyBorder="1"/>
    <xf numFmtId="0" fontId="0" fillId="6" borderId="1" xfId="0" applyFill="1" applyBorder="1"/>
    <xf numFmtId="0" fontId="0" fillId="6" borderId="6" xfId="0" applyFill="1" applyBorder="1"/>
    <xf numFmtId="0" fontId="0" fillId="6" borderId="7" xfId="0" applyFill="1" applyBorder="1"/>
    <xf numFmtId="0" fontId="0" fillId="6" borderId="8" xfId="0" applyFill="1" applyBorder="1"/>
    <xf numFmtId="164" fontId="0" fillId="6" borderId="8" xfId="0" applyNumberFormat="1" applyFill="1" applyBorder="1"/>
    <xf numFmtId="0" fontId="0" fillId="6" borderId="9" xfId="0" applyFill="1" applyBorder="1"/>
    <xf numFmtId="0" fontId="0" fillId="7" borderId="3" xfId="0" applyFill="1" applyBorder="1"/>
    <xf numFmtId="0" fontId="0" fillId="7" borderId="4" xfId="0" applyFill="1" applyBorder="1"/>
    <xf numFmtId="0" fontId="0" fillId="7" borderId="1" xfId="0" applyFill="1" applyBorder="1"/>
    <xf numFmtId="0" fontId="0" fillId="7" borderId="6" xfId="0" applyFill="1" applyBorder="1"/>
    <xf numFmtId="0" fontId="0" fillId="8" borderId="2" xfId="0" applyFill="1" applyBorder="1"/>
    <xf numFmtId="0" fontId="0" fillId="8" borderId="3" xfId="0" applyFill="1" applyBorder="1"/>
    <xf numFmtId="0" fontId="0" fillId="8" borderId="3" xfId="0" applyFill="1" applyBorder="1" applyProtection="1">
      <protection locked="0"/>
    </xf>
    <xf numFmtId="0" fontId="0" fillId="8" borderId="4" xfId="0" applyFill="1" applyBorder="1"/>
    <xf numFmtId="0" fontId="0" fillId="8" borderId="5" xfId="0" applyFill="1" applyBorder="1"/>
    <xf numFmtId="0" fontId="0" fillId="8" borderId="1" xfId="0" applyFill="1" applyBorder="1"/>
    <xf numFmtId="0" fontId="0" fillId="8" borderId="1" xfId="0" applyFill="1" applyBorder="1" applyProtection="1">
      <protection locked="0"/>
    </xf>
    <xf numFmtId="0" fontId="0" fillId="8" borderId="6" xfId="0" applyFill="1" applyBorder="1"/>
    <xf numFmtId="0" fontId="0" fillId="8" borderId="8" xfId="0" applyFill="1" applyBorder="1"/>
    <xf numFmtId="0" fontId="0" fillId="0" borderId="0" xfId="0" applyAlignment="1">
      <alignment horizontal="right"/>
    </xf>
    <xf numFmtId="0" fontId="0" fillId="0" borderId="28" xfId="0" applyBorder="1"/>
    <xf numFmtId="0" fontId="0" fillId="0" borderId="27" xfId="0" applyBorder="1"/>
    <xf numFmtId="0" fontId="0" fillId="8" borderId="0" xfId="0" applyFill="1"/>
    <xf numFmtId="0" fontId="0" fillId="0" borderId="24" xfId="0" applyBorder="1"/>
    <xf numFmtId="0" fontId="0" fillId="0" borderId="25" xfId="0" applyBorder="1"/>
    <xf numFmtId="0" fontId="0" fillId="0" borderId="29" xfId="0" applyBorder="1"/>
    <xf numFmtId="0" fontId="0" fillId="0" borderId="30" xfId="0" applyBorder="1"/>
    <xf numFmtId="0" fontId="0" fillId="0" borderId="31" xfId="0" applyBorder="1"/>
    <xf numFmtId="0" fontId="0" fillId="6" borderId="18" xfId="0" applyFill="1" applyBorder="1"/>
    <xf numFmtId="164" fontId="0" fillId="6" borderId="1" xfId="0" applyNumberFormat="1" applyFill="1" applyBorder="1"/>
    <xf numFmtId="0" fontId="0" fillId="0" borderId="0" xfId="0" applyAlignment="1">
      <alignment horizontal="right" vertical="center"/>
    </xf>
    <xf numFmtId="0" fontId="0" fillId="0" borderId="1" xfId="0" applyBorder="1" applyAlignment="1">
      <alignment horizontal="center"/>
    </xf>
    <xf numFmtId="0" fontId="0" fillId="0" borderId="6" xfId="0" applyBorder="1" applyAlignment="1">
      <alignment horizontal="center"/>
    </xf>
    <xf numFmtId="0" fontId="0" fillId="3" borderId="17" xfId="0" applyFill="1" applyBorder="1"/>
    <xf numFmtId="49" fontId="0" fillId="0" borderId="0" xfId="0" applyNumberFormat="1"/>
    <xf numFmtId="0" fontId="0" fillId="6" borderId="23" xfId="0" applyFill="1" applyBorder="1"/>
    <xf numFmtId="0" fontId="0" fillId="9" borderId="5" xfId="0" applyFill="1" applyBorder="1"/>
    <xf numFmtId="0" fontId="0" fillId="9" borderId="1" xfId="0" applyFill="1" applyBorder="1"/>
    <xf numFmtId="0" fontId="0" fillId="9" borderId="1" xfId="0" applyFill="1" applyBorder="1" applyProtection="1">
      <protection locked="0"/>
    </xf>
    <xf numFmtId="0" fontId="0" fillId="9" borderId="6" xfId="0" applyFill="1" applyBorder="1"/>
    <xf numFmtId="0" fontId="0" fillId="9" borderId="0" xfId="0" applyFill="1"/>
    <xf numFmtId="0" fontId="8" fillId="0" borderId="0" xfId="0" applyFont="1" applyAlignment="1">
      <alignment horizontal="left" vertical="center"/>
    </xf>
    <xf numFmtId="49" fontId="0" fillId="10" borderId="0" xfId="0" applyNumberFormat="1" applyFill="1"/>
    <xf numFmtId="49" fontId="0" fillId="11" borderId="0" xfId="0" applyNumberFormat="1" applyFill="1"/>
    <xf numFmtId="0" fontId="0" fillId="0" borderId="0" xfId="0" applyAlignment="1">
      <alignment wrapText="1"/>
    </xf>
    <xf numFmtId="0" fontId="0" fillId="6" borderId="2" xfId="0" applyFill="1" applyBorder="1"/>
    <xf numFmtId="0" fontId="0" fillId="6" borderId="3" xfId="0" applyFill="1" applyBorder="1"/>
    <xf numFmtId="0" fontId="0" fillId="6" borderId="4" xfId="0" applyFill="1" applyBorder="1"/>
    <xf numFmtId="2" fontId="0" fillId="0" borderId="1" xfId="0" applyNumberFormat="1" applyBorder="1"/>
    <xf numFmtId="0" fontId="0" fillId="5" borderId="2" xfId="0" applyFill="1" applyBorder="1"/>
    <xf numFmtId="0" fontId="0" fillId="5" borderId="7" xfId="0" applyFill="1" applyBorder="1"/>
    <xf numFmtId="0" fontId="0" fillId="7" borderId="2" xfId="0" applyFill="1" applyBorder="1"/>
    <xf numFmtId="0" fontId="0" fillId="7" borderId="5" xfId="0" applyFill="1" applyBorder="1"/>
    <xf numFmtId="0" fontId="0" fillId="7" borderId="7" xfId="0" applyFill="1" applyBorder="1"/>
    <xf numFmtId="0" fontId="0" fillId="7" borderId="8" xfId="0" applyFill="1" applyBorder="1"/>
    <xf numFmtId="0" fontId="0" fillId="7" borderId="9" xfId="0" applyFill="1" applyBorder="1"/>
    <xf numFmtId="14" fontId="0" fillId="0" borderId="1" xfId="0" applyNumberFormat="1" applyBorder="1"/>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14" fontId="0" fillId="0" borderId="1" xfId="0" applyNumberFormat="1" applyBorder="1" applyAlignment="1">
      <alignment horizontal="center" vertical="center"/>
    </xf>
    <xf numFmtId="0" fontId="0" fillId="10" borderId="0" xfId="0" applyFill="1"/>
    <xf numFmtId="49" fontId="0" fillId="4" borderId="0" xfId="0" applyNumberFormat="1" applyFill="1"/>
    <xf numFmtId="0" fontId="0" fillId="0" borderId="2" xfId="0" applyBorder="1" applyAlignment="1">
      <alignment horizontal="center" vertical="center" wrapText="1"/>
    </xf>
    <xf numFmtId="0" fontId="0" fillId="0" borderId="5" xfId="0" applyBorder="1" applyAlignment="1">
      <alignment horizontal="center" vertical="center" wrapText="1"/>
    </xf>
    <xf numFmtId="0" fontId="0" fillId="0" borderId="7" xfId="0" applyBorder="1" applyAlignment="1">
      <alignment horizontal="center" vertical="center" wrapText="1"/>
    </xf>
    <xf numFmtId="0" fontId="0" fillId="2" borderId="2" xfId="0" applyFill="1" applyBorder="1" applyAlignment="1">
      <alignment horizontal="center" vertical="center" wrapText="1"/>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5" borderId="2" xfId="0" applyFill="1" applyBorder="1" applyAlignment="1">
      <alignment horizontal="center" vertical="center" wrapText="1"/>
    </xf>
    <xf numFmtId="0" fontId="0" fillId="5" borderId="5" xfId="0" applyFill="1" applyBorder="1" applyAlignment="1">
      <alignment horizontal="center" vertical="center" wrapText="1"/>
    </xf>
    <xf numFmtId="0" fontId="0" fillId="5" borderId="7" xfId="0" applyFill="1" applyBorder="1" applyAlignment="1">
      <alignment horizontal="center" vertical="center" wrapText="1"/>
    </xf>
    <xf numFmtId="0" fontId="0" fillId="0" borderId="28" xfId="0" applyBorder="1" applyAlignment="1">
      <alignment horizontal="center" vertical="center" wrapText="1"/>
    </xf>
    <xf numFmtId="0" fontId="0" fillId="0" borderId="27" xfId="0" applyBorder="1" applyAlignment="1">
      <alignment horizontal="center" vertical="center" wrapText="1"/>
    </xf>
    <xf numFmtId="0" fontId="0" fillId="0" borderId="24" xfId="0" applyBorder="1" applyAlignment="1">
      <alignment horizontal="center" vertical="center" wrapText="1"/>
    </xf>
    <xf numFmtId="0" fontId="6" fillId="0" borderId="0" xfId="0" applyFont="1" applyAlignment="1">
      <alignment horizontal="center"/>
    </xf>
    <xf numFmtId="0" fontId="6" fillId="0" borderId="25" xfId="0" applyFont="1" applyBorder="1" applyAlignment="1">
      <alignment horizontal="center" vertical="center" wrapText="1"/>
    </xf>
    <xf numFmtId="0" fontId="0" fillId="0" borderId="14" xfId="0" applyBorder="1" applyAlignment="1">
      <alignment horizontal="right"/>
    </xf>
    <xf numFmtId="0" fontId="0" fillId="0" borderId="15" xfId="0" applyBorder="1" applyAlignment="1">
      <alignment horizontal="right"/>
    </xf>
    <xf numFmtId="0" fontId="0" fillId="0" borderId="16" xfId="0" applyBorder="1" applyAlignment="1">
      <alignment horizontal="right"/>
    </xf>
    <xf numFmtId="0" fontId="0" fillId="0" borderId="28" xfId="0" applyBorder="1" applyAlignment="1">
      <alignment horizontal="right" vertical="center"/>
    </xf>
    <xf numFmtId="0" fontId="0" fillId="0" borderId="26" xfId="0" applyBorder="1" applyAlignment="1">
      <alignment horizontal="right" vertical="center"/>
    </xf>
    <xf numFmtId="0" fontId="0" fillId="0" borderId="29" xfId="0" applyBorder="1" applyAlignment="1">
      <alignment horizontal="right" vertical="center"/>
    </xf>
    <xf numFmtId="0" fontId="0" fillId="0" borderId="24" xfId="0" applyBorder="1" applyAlignment="1">
      <alignment horizontal="right" vertical="center"/>
    </xf>
    <xf numFmtId="0" fontId="0" fillId="0" borderId="25" xfId="0" applyBorder="1" applyAlignment="1">
      <alignment horizontal="right" vertical="center"/>
    </xf>
    <xf numFmtId="0" fontId="0" fillId="0" borderId="31" xfId="0" applyBorder="1" applyAlignment="1">
      <alignment horizontal="right" vertical="center"/>
    </xf>
    <xf numFmtId="0" fontId="0" fillId="6" borderId="18" xfId="0" applyFill="1" applyBorder="1" applyAlignment="1">
      <alignment horizontal="center"/>
    </xf>
    <xf numFmtId="0" fontId="0" fillId="6" borderId="20" xfId="0" applyFill="1" applyBorder="1" applyAlignment="1">
      <alignment horizontal="center"/>
    </xf>
    <xf numFmtId="0" fontId="0" fillId="0" borderId="27" xfId="0" applyBorder="1" applyAlignment="1">
      <alignment horizontal="right" vertical="center"/>
    </xf>
    <xf numFmtId="0" fontId="0" fillId="0" borderId="0" xfId="0" applyAlignment="1">
      <alignment horizontal="right" vertical="center"/>
    </xf>
    <xf numFmtId="0" fontId="0" fillId="0" borderId="30" xfId="0" applyBorder="1" applyAlignment="1">
      <alignment horizontal="right" vertical="center"/>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7" fillId="0" borderId="19" xfId="0" applyFont="1" applyBorder="1" applyAlignment="1">
      <alignment horizontal="center"/>
    </xf>
    <xf numFmtId="0" fontId="7" fillId="0" borderId="20" xfId="0" applyFont="1" applyBorder="1" applyAlignment="1">
      <alignment horizontal="center"/>
    </xf>
    <xf numFmtId="0" fontId="7" fillId="0" borderId="21" xfId="0" applyFont="1" applyBorder="1" applyAlignment="1">
      <alignment horizontal="center"/>
    </xf>
    <xf numFmtId="0" fontId="0" fillId="0" borderId="26" xfId="0" applyBorder="1" applyAlignment="1">
      <alignment horizontal="center" vertical="center" wrapText="1"/>
    </xf>
    <xf numFmtId="0" fontId="0" fillId="0" borderId="29" xfId="0" applyBorder="1" applyAlignment="1">
      <alignment horizontal="center" vertical="center" wrapText="1"/>
    </xf>
    <xf numFmtId="0" fontId="0" fillId="0" borderId="0" xfId="0" applyAlignment="1">
      <alignment horizontal="center" vertical="center" wrapText="1"/>
    </xf>
    <xf numFmtId="0" fontId="0" fillId="0" borderId="30" xfId="0" applyBorder="1" applyAlignment="1">
      <alignment horizontal="center" vertical="center" wrapText="1"/>
    </xf>
    <xf numFmtId="0" fontId="0" fillId="0" borderId="25" xfId="0" applyBorder="1" applyAlignment="1">
      <alignment horizontal="center" vertical="center" wrapText="1"/>
    </xf>
    <xf numFmtId="0" fontId="0" fillId="0" borderId="31" xfId="0" applyBorder="1" applyAlignment="1">
      <alignment horizontal="center" vertical="center" wrapText="1"/>
    </xf>
    <xf numFmtId="0" fontId="0" fillId="0" borderId="1" xfId="0" applyBorder="1" applyAlignment="1">
      <alignment horizontal="center"/>
    </xf>
    <xf numFmtId="0" fontId="0" fillId="0" borderId="6" xfId="0" applyBorder="1" applyAlignment="1">
      <alignment horizontal="center"/>
    </xf>
    <xf numFmtId="0" fontId="0" fillId="3" borderId="2" xfId="0" applyFill="1" applyBorder="1" applyAlignment="1">
      <alignment horizontal="center" vertical="center" wrapText="1"/>
    </xf>
    <xf numFmtId="0" fontId="0" fillId="3" borderId="5" xfId="0" applyFill="1" applyBorder="1" applyAlignment="1">
      <alignment horizontal="center" vertical="center" wrapText="1"/>
    </xf>
    <xf numFmtId="0" fontId="0" fillId="3" borderId="7" xfId="0" applyFill="1" applyBorder="1" applyAlignment="1">
      <alignment horizontal="center" vertical="center" wrapText="1"/>
    </xf>
    <xf numFmtId="0" fontId="0" fillId="0" borderId="0" xfId="0" applyAlignment="1">
      <alignment horizontal="left" vertical="top" wrapText="1"/>
    </xf>
    <xf numFmtId="49" fontId="0" fillId="3" borderId="18" xfId="0" applyNumberFormat="1" applyFill="1" applyBorder="1" applyAlignment="1" applyProtection="1">
      <alignment horizontal="center"/>
      <protection locked="0"/>
    </xf>
    <xf numFmtId="49" fontId="0" fillId="3" borderId="20" xfId="0" applyNumberFormat="1"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49" fontId="0" fillId="6" borderId="20" xfId="0" applyNumberFormat="1" applyFill="1" applyBorder="1" applyAlignment="1">
      <alignment horizontal="center"/>
    </xf>
    <xf numFmtId="0" fontId="0" fillId="6" borderId="21" xfId="0" applyFill="1" applyBorder="1" applyAlignment="1">
      <alignment horizontal="center"/>
    </xf>
    <xf numFmtId="0" fontId="0" fillId="3" borderId="28" xfId="0" applyFill="1" applyBorder="1" applyAlignment="1">
      <alignment horizontal="center" vertical="center" wrapText="1"/>
    </xf>
    <xf numFmtId="0" fontId="0" fillId="3" borderId="27" xfId="0" applyFill="1" applyBorder="1" applyAlignment="1">
      <alignment horizontal="center" vertical="center" wrapText="1"/>
    </xf>
    <xf numFmtId="0" fontId="0" fillId="3" borderId="24" xfId="0" applyFill="1" applyBorder="1" applyAlignment="1">
      <alignment horizontal="center" vertical="center" wrapText="1"/>
    </xf>
    <xf numFmtId="0" fontId="0" fillId="7" borderId="32" xfId="0" applyFill="1" applyBorder="1" applyAlignment="1">
      <alignment horizontal="center" vertical="center" wrapText="1"/>
    </xf>
    <xf numFmtId="0" fontId="0" fillId="7" borderId="33" xfId="0" applyFill="1" applyBorder="1" applyAlignment="1">
      <alignment horizontal="center" vertical="center" wrapText="1"/>
    </xf>
    <xf numFmtId="0" fontId="0" fillId="7" borderId="34" xfId="0" applyFill="1" applyBorder="1" applyAlignment="1">
      <alignment horizontal="center" vertical="center" wrapText="1"/>
    </xf>
    <xf numFmtId="0" fontId="0" fillId="5" borderId="32" xfId="0" applyFill="1" applyBorder="1" applyAlignment="1">
      <alignment horizontal="center" vertical="center" wrapText="1"/>
    </xf>
    <xf numFmtId="0" fontId="0" fillId="5" borderId="34" xfId="0" applyFill="1" applyBorder="1" applyAlignment="1">
      <alignment horizontal="center" vertical="center" wrapText="1"/>
    </xf>
    <xf numFmtId="0" fontId="0" fillId="6" borderId="1" xfId="0" applyFill="1" applyBorder="1" applyAlignment="1">
      <alignment horizontal="center"/>
    </xf>
    <xf numFmtId="0" fontId="0" fillId="6" borderId="6" xfId="0" applyFill="1" applyBorder="1" applyAlignment="1">
      <alignment horizontal="center"/>
    </xf>
    <xf numFmtId="0" fontId="0" fillId="0" borderId="14" xfId="0" applyBorder="1" applyAlignment="1">
      <alignment horizontal="right" vertical="center"/>
    </xf>
    <xf numFmtId="0" fontId="0" fillId="0" borderId="15" xfId="0" applyBorder="1" applyAlignment="1">
      <alignment horizontal="right" vertical="center"/>
    </xf>
    <xf numFmtId="0" fontId="0" fillId="0" borderId="16" xfId="0" applyBorder="1" applyAlignment="1">
      <alignment horizontal="right" vertical="center"/>
    </xf>
    <xf numFmtId="0" fontId="0" fillId="0" borderId="28" xfId="0" applyBorder="1" applyAlignment="1">
      <alignment horizontal="left" wrapText="1"/>
    </xf>
    <xf numFmtId="0" fontId="0" fillId="0" borderId="26" xfId="0" applyBorder="1" applyAlignment="1">
      <alignment horizontal="left" wrapText="1"/>
    </xf>
    <xf numFmtId="0" fontId="0" fillId="0" borderId="29" xfId="0" applyBorder="1" applyAlignment="1">
      <alignment horizontal="left" wrapText="1"/>
    </xf>
    <xf numFmtId="0" fontId="0" fillId="0" borderId="24" xfId="0" applyBorder="1" applyAlignment="1">
      <alignment horizontal="left" wrapText="1"/>
    </xf>
    <xf numFmtId="0" fontId="0" fillId="0" borderId="25" xfId="0" applyBorder="1" applyAlignment="1">
      <alignment horizontal="left" wrapText="1"/>
    </xf>
    <xf numFmtId="0" fontId="0" fillId="0" borderId="31" xfId="0" applyBorder="1" applyAlignment="1">
      <alignment horizontal="left" wrapText="1"/>
    </xf>
  </cellXfs>
  <cellStyles count="3">
    <cellStyle name="Currency 3" xfId="1" xr:uid="{00000000-0005-0000-0000-000000000000}"/>
    <cellStyle name="Normal" xfId="0" builtinId="0"/>
    <cellStyle name="Normal 2 2" xfId="2" xr:uid="{00000000-0005-0000-0000-000002000000}"/>
  </cellStyles>
  <dxfs count="0"/>
  <tableStyles count="0" defaultTableStyle="TableStyleMedium2" defaultPivotStyle="PivotStyleLight16"/>
  <colors>
    <mruColors>
      <color rgb="FFFFB547"/>
      <color rgb="FFFFFF69"/>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524969</xdr:colOff>
      <xdr:row>12</xdr:row>
      <xdr:rowOff>32297</xdr:rowOff>
    </xdr:from>
    <xdr:to>
      <xdr:col>5</xdr:col>
      <xdr:colOff>98260</xdr:colOff>
      <xdr:row>99</xdr:row>
      <xdr:rowOff>47625</xdr:rowOff>
    </xdr:to>
    <xdr:sp macro="" textlink="">
      <xdr:nvSpPr>
        <xdr:cNvPr id="4" name="TextBox 3">
          <a:extLst>
            <a:ext uri="{FF2B5EF4-FFF2-40B4-BE49-F238E27FC236}">
              <a16:creationId xmlns:a16="http://schemas.microsoft.com/office/drawing/2014/main" id="{0E376A03-D91D-4D6B-998C-01FCFA204BE6}"/>
            </a:ext>
          </a:extLst>
        </xdr:cNvPr>
        <xdr:cNvSpPr txBox="1"/>
      </xdr:nvSpPr>
      <xdr:spPr>
        <a:xfrm>
          <a:off x="524969" y="3651797"/>
          <a:ext cx="8137854" cy="165888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mn-lt"/>
              <a:cs typeface="Arial" panose="020B0604020202020204" pitchFamily="34" charset="0"/>
            </a:rPr>
            <a:t>Victaulic Vortex™ Project Estimating Tool </a:t>
          </a:r>
        </a:p>
        <a:p>
          <a:endParaRPr lang="en-US" sz="1400" b="1">
            <a:latin typeface="+mn-lt"/>
            <a:cs typeface="Arial" panose="020B0604020202020204" pitchFamily="34" charset="0"/>
          </a:endParaRPr>
        </a:p>
        <a:p>
          <a:r>
            <a:rPr lang="en-US" sz="1400">
              <a:latin typeface="+mn-lt"/>
              <a:cs typeface="Arial" panose="020B0604020202020204" pitchFamily="34" charset="0"/>
            </a:rPr>
            <a:t>The Victaulic Vortex™ Integrator Portal includes a software tool developed to assist the integrator in estimating projects. The Victaulic Vortex™ Project Estimating Tool may be used to assist with generating the bill of materials and estimated costs, Version 2.x is the latest version and correlates with the Victaulic Vortex™ 1500 Design, Installation, Operating and Maintenance Manual (“DIOM”), Revision F, and the Victaulic Vortex™ 1000 DIOM, Revision B. </a:t>
          </a:r>
        </a:p>
        <a:p>
          <a:endParaRPr lang="en-US" sz="1400">
            <a:latin typeface="+mn-lt"/>
            <a:cs typeface="Arial" panose="020B0604020202020204" pitchFamily="34" charset="0"/>
          </a:endParaRPr>
        </a:p>
        <a:p>
          <a:r>
            <a:rPr lang="en-US" sz="1400">
              <a:latin typeface="+mn-lt"/>
              <a:cs typeface="Arial" panose="020B0604020202020204" pitchFamily="34" charset="0"/>
            </a:rPr>
            <a:t>The Victaulic Vortex™ 1500 DIOM has been recently updated, please discard and cease the use previous revisions for new projects. The latest revision of the Project Estimating Tool will be maintained on Victaulic Vortex™ Integrator Portal for your reference and use. The Project Estimating Tool is not a substitute for the Victaulic Vortex™ DIOM, which must be referred to for system design and calculations. </a:t>
          </a:r>
        </a:p>
        <a:p>
          <a:endParaRPr lang="en-US" sz="1400">
            <a:latin typeface="+mn-lt"/>
            <a:cs typeface="Arial" panose="020B0604020202020204" pitchFamily="34" charset="0"/>
          </a:endParaRPr>
        </a:p>
        <a:p>
          <a:r>
            <a:rPr lang="en-US" sz="1400">
              <a:latin typeface="+mn-lt"/>
              <a:cs typeface="Arial" panose="020B0604020202020204" pitchFamily="34" charset="0"/>
            </a:rPr>
            <a:t>Tab “Revision History “of the Estimating Tool contains the version information. The remaining tabs are used to input values and provide calculations estimating the system requirements. In each tab, the cells highlighted in yellow require user input whereas the cells highlighted in green provide the emitter, nitrogen cylinder and water estimates. The Design Iteration Section (located in the lower right-hand corner) allows a user to adjust parameters such as nitrogen cylinder pressure, and quantity of emitters (highlighted in blue) to evaluate their anticipated effect on the overall system performance. </a:t>
          </a:r>
        </a:p>
        <a:p>
          <a:endParaRPr lang="en-US" sz="1400">
            <a:latin typeface="+mn-lt"/>
            <a:cs typeface="Arial" panose="020B0604020202020204" pitchFamily="34" charset="0"/>
          </a:endParaRPr>
        </a:p>
        <a:p>
          <a:r>
            <a:rPr lang="en-US" sz="1400">
              <a:latin typeface="+mn-lt"/>
              <a:cs typeface="Arial" panose="020B0604020202020204" pitchFamily="34" charset="0"/>
            </a:rPr>
            <a:t>Tabs “0.625 Class A surface fires”,</a:t>
          </a:r>
          <a:r>
            <a:rPr lang="en-US" sz="1400" baseline="0">
              <a:latin typeface="+mn-lt"/>
              <a:cs typeface="Arial" panose="020B0604020202020204" pitchFamily="34" charset="0"/>
            </a:rPr>
            <a:t> </a:t>
          </a:r>
          <a:r>
            <a:rPr lang="en-US" sz="1400">
              <a:latin typeface="+mn-lt"/>
              <a:cs typeface="Arial" panose="020B0604020202020204" pitchFamily="34" charset="0"/>
            </a:rPr>
            <a:t> "0.5"</a:t>
          </a:r>
          <a:r>
            <a:rPr lang="en-US" sz="1400" baseline="0">
              <a:latin typeface="+mn-lt"/>
              <a:cs typeface="Arial" panose="020B0604020202020204" pitchFamily="34" charset="0"/>
            </a:rPr>
            <a:t> Class B Machine Space", and </a:t>
          </a:r>
          <a:r>
            <a:rPr lang="en-US" sz="1400">
              <a:latin typeface="+mn-lt"/>
              <a:cs typeface="Arial" panose="020B0604020202020204" pitchFamily="34" charset="0"/>
            </a:rPr>
            <a:t>“0.5 Class B Fuels Per</a:t>
          </a:r>
          <a:r>
            <a:rPr lang="en-US" sz="1400" baseline="0">
              <a:latin typeface="+mn-lt"/>
              <a:cs typeface="Arial" panose="020B0604020202020204" pitchFamily="34" charset="0"/>
            </a:rPr>
            <a:t> NFPA 770</a:t>
          </a:r>
          <a:r>
            <a:rPr lang="en-US" sz="1400">
              <a:latin typeface="+mn-lt"/>
              <a:cs typeface="Arial" panose="020B0604020202020204" pitchFamily="34" charset="0"/>
            </a:rPr>
            <a:t>” are used to estimate materials for a total flooding Victaulic Vortex™ 1500 system used to protect Class A surface fires, and Class B fires within enclosures, respectively. The estimates generated in these Tabs are based on the volume and elevation of the hazard, the nitrogen cylinder size available, and the locally available nitrogen fill pressure. The following information is calculated: the quantity of nitrogen gas (including a 20% safety factor), quantity of nitrogen cylinders, quantity of water (including a 20% safety factor) and number of emitters (rounded up to the nearest whole number). The Estimating Tool assumes a room temperature of 70°F, and defaults to the 5/8” emitter with a nominal 3 minute discharge (for Class A surface fires) and a ½” emitter with a nominal 5 minute discharge (for Class B Machine</a:t>
          </a:r>
          <a:r>
            <a:rPr lang="en-US" sz="1400" baseline="0">
              <a:latin typeface="+mn-lt"/>
              <a:cs typeface="Arial" panose="020B0604020202020204" pitchFamily="34" charset="0"/>
            </a:rPr>
            <a:t> Space</a:t>
          </a:r>
          <a:r>
            <a:rPr lang="en-US" sz="1400">
              <a:latin typeface="+mn-lt"/>
              <a:cs typeface="Arial" panose="020B0604020202020204" pitchFamily="34" charset="0"/>
            </a:rPr>
            <a:t>).   The Estimating Tool</a:t>
          </a:r>
          <a:r>
            <a:rPr lang="en-US" sz="1400" baseline="0">
              <a:latin typeface="+mn-lt"/>
              <a:cs typeface="Arial" panose="020B0604020202020204" pitchFamily="34" charset="0"/>
            </a:rPr>
            <a:t> defaults to the 1/2" emitter and a nominal 3 minute discharge for Class B Fuels per NFPA 770.  </a:t>
          </a:r>
          <a:r>
            <a:rPr lang="en-US" sz="1400">
              <a:latin typeface="+mn-lt"/>
              <a:cs typeface="Arial" panose="020B0604020202020204" pitchFamily="34" charset="0"/>
            </a:rPr>
            <a:t>The Estimating Tool does not account for special requirements, or any specific site condition, and the user should refer to the DIOM in order to account for these conditions in the estimate. The Victaulic Vortex™ 1500 DIOM should be consulted to design all systems, including those requiring further design criteria including applicability to specific hazards, specific system layout requirements, etc. </a:t>
          </a:r>
        </a:p>
        <a:p>
          <a:endParaRPr lang="en-US" sz="1400">
            <a:latin typeface="+mn-lt"/>
            <a:cs typeface="Arial" panose="020B0604020202020204" pitchFamily="34" charset="0"/>
          </a:endParaRPr>
        </a:p>
        <a:p>
          <a:r>
            <a:rPr lang="en-US" sz="1400">
              <a:latin typeface="+mn-lt"/>
              <a:cs typeface="Arial" panose="020B0604020202020204" pitchFamily="34" charset="0"/>
            </a:rPr>
            <a:t>Tab “General Design Equation” contains a more general format for estimating materials for Victaulic Vortex systems. This sheet permits a wider range of emitter and water flow cartridge options to be chosen, and allows the user to enter discharge time, nitrogen flooding factor, range of expected room temperatures, safety factor, and piping volumes. The Estimating Tool, including this Tab, does not account for special requirements, or any specific site condition, and the user should refer to the DIOM in order to account for these conditions in the estimate. The Victaulic Vortex™ 1500 DIOM should be consulted to design all systems, including those requiring further design criteria including applicability to specific hazards, specific system layout requirements, etc. </a:t>
          </a:r>
        </a:p>
        <a:p>
          <a:endParaRPr lang="en-US" sz="1400">
            <a:latin typeface="+mn-lt"/>
            <a:cs typeface="Arial" panose="020B0604020202020204" pitchFamily="34" charset="0"/>
          </a:endParaRPr>
        </a:p>
        <a:p>
          <a:r>
            <a:rPr lang="en-US" sz="1400">
              <a:latin typeface="+mn-lt"/>
              <a:cs typeface="Arial" panose="020B0604020202020204" pitchFamily="34" charset="0"/>
            </a:rPr>
            <a:t>The tabs for estimating Victaulic Vortex™ 1500 systems require the user to be aware of and input information such as the hazard’s elevation to incorporate the altitude correction factor, enclosure volume, as well as the nitrogen cylinder size available and system design pressure. If a local refill is desired, be sure to contact the preferred gas supplier and determine the gas supplier capabilities. </a:t>
          </a:r>
        </a:p>
        <a:p>
          <a:endParaRPr lang="en-US" sz="1400">
            <a:latin typeface="+mn-lt"/>
            <a:cs typeface="Arial" panose="020B0604020202020204" pitchFamily="34" charset="0"/>
          </a:endParaRPr>
        </a:p>
        <a:p>
          <a:r>
            <a:rPr lang="en-US" sz="1400">
              <a:latin typeface="+mn-lt"/>
              <a:cs typeface="Arial" panose="020B0604020202020204" pitchFamily="34" charset="0"/>
            </a:rPr>
            <a:t>Tab “V1000 Design” is used to estimate the materials for a Victaulic Vortex™ 1000 system intended for installations where FM approval is required. By default, the discharge time used by the Tool is 10 minutes. Depending upon the application and corresponding approval, FM may require a longer discharge, e.g., Combustion Turbines and certain other applications identified by FM may require discharge times of 20 minutes or longer to accommodate the wind down time of the equipment. This Tab requires the user to input values such as the volume of the protected enclosure, the size of the cylinders, and design pressure of the cylinders. The Estimating Tool, including this Tab, does not account for special requirements, or any specific site condition, and the user should refer to the DIOM and the applicable FM Global Loss Prevention Data Sheets in order to account for these conditions in the estimate. The Victaulic Vortex™ 1000 DIOM and the applicable FM Global Loss Prevention Data Sheets should be consulted to design Victaulic Vortex™ 1000 systems, including those requiring further design criteria including applicability to specific hazards, specific system layout requirements, etc. </a:t>
          </a:r>
        </a:p>
        <a:p>
          <a:endParaRPr lang="en-US" sz="1400">
            <a:latin typeface="+mn-lt"/>
            <a:cs typeface="Arial" panose="020B0604020202020204" pitchFamily="34" charset="0"/>
          </a:endParaRPr>
        </a:p>
        <a:p>
          <a:r>
            <a:rPr lang="en-US" sz="1400">
              <a:latin typeface="+mn-lt"/>
              <a:cs typeface="Arial" panose="020B0604020202020204" pitchFamily="34" charset="0"/>
            </a:rPr>
            <a:t>Revision F of the Victaulic Vortex™ 1500 DIOM is the current version, and new Victaulic Vortex™ 1500 system designs should follow and be in accordance with revision F. The Victaulic Vortex Project Estimator Spreadsheet, version 2.x, is intended to be used with the Victaulic Vortex™ 1500 DIOM revision F and the Victaulic Vortex™ 1000 DIOM revision B. The changes incorporated in these revisions and in the Project Estimating Tool do not require that systems already installed and accepted be modified or changed. </a:t>
          </a:r>
        </a:p>
        <a:p>
          <a:endParaRPr lang="en-US" sz="1400">
            <a:latin typeface="+mn-lt"/>
            <a:cs typeface="Arial" panose="020B0604020202020204" pitchFamily="34" charset="0"/>
          </a:endParaRPr>
        </a:p>
        <a:p>
          <a:r>
            <a:rPr lang="en-US" sz="1400">
              <a:latin typeface="+mn-lt"/>
              <a:cs typeface="Arial" panose="020B0604020202020204" pitchFamily="34" charset="0"/>
            </a:rPr>
            <a:t>Future versions of the Project Estimating Tool will be available on the Victaulic Vortex Integrator Portal or by contacting Victaulic Applications Engineering. Additionally, the Victaulic Vortex Integrator Portal contains current manuals and application guides with recommendations for protecting specific types of hazards. Victaulic Vortex™ designs should be based on the appropriate manual, and the Victaulic Vortex™ Project Estimating Tool may not be used for system design. Victaulic Vortex systems may only be designed by competent and trained Fire Protection Engineers retained by authorized Victaulic Vortex Integrators in accordance with the appropriate Victaulic Vortex DIOM, along with a complete evaluation of the hazard, requirements of the AHJ, and applicable laws, codes, industry standards, and sound engineering judgment.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30480</xdr:colOff>
      <xdr:row>50</xdr:row>
      <xdr:rowOff>30480</xdr:rowOff>
    </xdr:from>
    <xdr:to>
      <xdr:col>4</xdr:col>
      <xdr:colOff>403860</xdr:colOff>
      <xdr:row>55</xdr:row>
      <xdr:rowOff>7620</xdr:rowOff>
    </xdr:to>
    <xdr:sp macro="" textlink="">
      <xdr:nvSpPr>
        <xdr:cNvPr id="17" name="TextBox 16">
          <a:extLst>
            <a:ext uri="{FF2B5EF4-FFF2-40B4-BE49-F238E27FC236}">
              <a16:creationId xmlns:a16="http://schemas.microsoft.com/office/drawing/2014/main" id="{00000000-0008-0000-0100-000011000000}"/>
            </a:ext>
          </a:extLst>
        </xdr:cNvPr>
        <xdr:cNvSpPr txBox="1"/>
      </xdr:nvSpPr>
      <xdr:spPr>
        <a:xfrm>
          <a:off x="975360" y="8938260"/>
          <a:ext cx="4091940" cy="891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system size estimate is based on typical room</a:t>
          </a:r>
          <a:r>
            <a:rPr lang="en-US" sz="1100" baseline="0"/>
            <a:t> and installation conditions for a total-flooding design for the Class A surface FIres described in the I-Vortex.1500 Design, Installation, and Maintainence manual.  Refer to the I-Vortex.1500 manual for specific design requirements for the Vortex 1500 system</a:t>
          </a:r>
        </a:p>
        <a:p>
          <a:endParaRPr lang="en-US" sz="1100" baseline="0"/>
        </a:p>
      </xdr:txBody>
    </xdr:sp>
    <xdr:clientData/>
  </xdr:twoCellAnchor>
  <xdr:twoCellAnchor>
    <xdr:from>
      <xdr:col>10</xdr:col>
      <xdr:colOff>60960</xdr:colOff>
      <xdr:row>50</xdr:row>
      <xdr:rowOff>18378</xdr:rowOff>
    </xdr:from>
    <xdr:to>
      <xdr:col>13</xdr:col>
      <xdr:colOff>582706</xdr:colOff>
      <xdr:row>54</xdr:row>
      <xdr:rowOff>174812</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8864301" y="9520966"/>
          <a:ext cx="4215205" cy="8736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 Design Iteration tool is intended to provide a tool to</a:t>
          </a:r>
          <a:r>
            <a:rPr lang="en-US" sz="1100" baseline="0"/>
            <a:t> analyze the effects of adjusting nitrogen cylinder pressures, number of cylinders, and number of emitters.  It is does not provide recommended design information</a:t>
          </a:r>
          <a:endParaRPr lang="en-US" sz="1100"/>
        </a:p>
      </xdr:txBody>
    </xdr:sp>
    <xdr:clientData/>
  </xdr:twoCellAnchor>
  <xdr:twoCellAnchor>
    <xdr:from>
      <xdr:col>5</xdr:col>
      <xdr:colOff>23813</xdr:colOff>
      <xdr:row>36</xdr:row>
      <xdr:rowOff>189186</xdr:rowOff>
    </xdr:from>
    <xdr:to>
      <xdr:col>5</xdr:col>
      <xdr:colOff>320976</xdr:colOff>
      <xdr:row>36</xdr:row>
      <xdr:rowOff>190500</xdr:rowOff>
    </xdr:to>
    <xdr:cxnSp macro="">
      <xdr:nvCxnSpPr>
        <xdr:cNvPr id="4" name="Straight Arrow Connector 3">
          <a:extLst>
            <a:ext uri="{FF2B5EF4-FFF2-40B4-BE49-F238E27FC236}">
              <a16:creationId xmlns:a16="http://schemas.microsoft.com/office/drawing/2014/main" id="{00000000-0008-0000-0100-000004000000}"/>
            </a:ext>
          </a:extLst>
        </xdr:cNvPr>
        <xdr:cNvCxnSpPr/>
      </xdr:nvCxnSpPr>
      <xdr:spPr>
        <a:xfrm flipH="1">
          <a:off x="6369844" y="7571061"/>
          <a:ext cx="297163" cy="1314"/>
        </a:xfrm>
        <a:prstGeom prst="straightConnector1">
          <a:avLst/>
        </a:prstGeom>
        <a:ln>
          <a:tailEnd type="triangle"/>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5</xdr:col>
      <xdr:colOff>46970</xdr:colOff>
      <xdr:row>41</xdr:row>
      <xdr:rowOff>99849</xdr:rowOff>
    </xdr:from>
    <xdr:to>
      <xdr:col>5</xdr:col>
      <xdr:colOff>451618</xdr:colOff>
      <xdr:row>41</xdr:row>
      <xdr:rowOff>99849</xdr:rowOff>
    </xdr:to>
    <xdr:cxnSp macro="">
      <xdr:nvCxnSpPr>
        <xdr:cNvPr id="6" name="Straight Arrow Connector 5">
          <a:extLst>
            <a:ext uri="{FF2B5EF4-FFF2-40B4-BE49-F238E27FC236}">
              <a16:creationId xmlns:a16="http://schemas.microsoft.com/office/drawing/2014/main" id="{00000000-0008-0000-0100-000006000000}"/>
            </a:ext>
          </a:extLst>
        </xdr:cNvPr>
        <xdr:cNvCxnSpPr/>
      </xdr:nvCxnSpPr>
      <xdr:spPr>
        <a:xfrm flipH="1">
          <a:off x="6393001" y="8600912"/>
          <a:ext cx="404648" cy="0"/>
        </a:xfrm>
        <a:prstGeom prst="straightConnector1">
          <a:avLst/>
        </a:prstGeom>
        <a:ln>
          <a:tailEnd type="triangle"/>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5</xdr:col>
      <xdr:colOff>60599</xdr:colOff>
      <xdr:row>47</xdr:row>
      <xdr:rowOff>110360</xdr:rowOff>
    </xdr:from>
    <xdr:to>
      <xdr:col>5</xdr:col>
      <xdr:colOff>465247</xdr:colOff>
      <xdr:row>47</xdr:row>
      <xdr:rowOff>110360</xdr:rowOff>
    </xdr:to>
    <xdr:cxnSp macro="">
      <xdr:nvCxnSpPr>
        <xdr:cNvPr id="7" name="Straight Arrow Connector 6">
          <a:extLst>
            <a:ext uri="{FF2B5EF4-FFF2-40B4-BE49-F238E27FC236}">
              <a16:creationId xmlns:a16="http://schemas.microsoft.com/office/drawing/2014/main" id="{00000000-0008-0000-0100-000007000000}"/>
            </a:ext>
          </a:extLst>
        </xdr:cNvPr>
        <xdr:cNvCxnSpPr/>
      </xdr:nvCxnSpPr>
      <xdr:spPr>
        <a:xfrm flipH="1">
          <a:off x="6406630" y="9944923"/>
          <a:ext cx="404648" cy="0"/>
        </a:xfrm>
        <a:prstGeom prst="straightConnector1">
          <a:avLst/>
        </a:prstGeom>
        <a:ln>
          <a:tailEnd type="triangle"/>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5</xdr:col>
      <xdr:colOff>55016</xdr:colOff>
      <xdr:row>45</xdr:row>
      <xdr:rowOff>5257</xdr:rowOff>
    </xdr:from>
    <xdr:to>
      <xdr:col>5</xdr:col>
      <xdr:colOff>459664</xdr:colOff>
      <xdr:row>45</xdr:row>
      <xdr:rowOff>5257</xdr:rowOff>
    </xdr:to>
    <xdr:cxnSp macro="">
      <xdr:nvCxnSpPr>
        <xdr:cNvPr id="8" name="Straight Arrow Connector 7">
          <a:extLst>
            <a:ext uri="{FF2B5EF4-FFF2-40B4-BE49-F238E27FC236}">
              <a16:creationId xmlns:a16="http://schemas.microsoft.com/office/drawing/2014/main" id="{00000000-0008-0000-0100-000008000000}"/>
            </a:ext>
          </a:extLst>
        </xdr:cNvPr>
        <xdr:cNvCxnSpPr/>
      </xdr:nvCxnSpPr>
      <xdr:spPr>
        <a:xfrm flipH="1">
          <a:off x="6401047" y="9363570"/>
          <a:ext cx="404648"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9</xdr:col>
      <xdr:colOff>1</xdr:colOff>
      <xdr:row>28</xdr:row>
      <xdr:rowOff>8967</xdr:rowOff>
    </xdr:from>
    <xdr:to>
      <xdr:col>13</xdr:col>
      <xdr:colOff>546848</xdr:colOff>
      <xdr:row>30</xdr:row>
      <xdr:rowOff>161366</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588189" y="5423649"/>
          <a:ext cx="5181600" cy="5916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The Design Iteration tool is intended to provide a tool to</a:t>
          </a:r>
          <a:r>
            <a:rPr lang="en-US" sz="1100" baseline="0">
              <a:solidFill>
                <a:schemeClr val="dk1"/>
              </a:solidFill>
              <a:effectLst/>
              <a:latin typeface="+mn-lt"/>
              <a:ea typeface="+mn-ea"/>
              <a:cs typeface="+mn-cs"/>
            </a:rPr>
            <a:t> analyze the effects of adjusting nitrogen cylinder pressures, number of cylinders, and number of emitters.  It is does not provide recommended design information</a:t>
          </a:r>
          <a:endParaRPr lang="en-US">
            <a:effectLst/>
          </a:endParaRPr>
        </a:p>
        <a:p>
          <a:endParaRPr lang="en-US" sz="1100"/>
        </a:p>
      </xdr:txBody>
    </xdr:sp>
    <xdr:clientData/>
  </xdr:twoCellAnchor>
  <xdr:twoCellAnchor>
    <xdr:from>
      <xdr:col>5</xdr:col>
      <xdr:colOff>35721</xdr:colOff>
      <xdr:row>8</xdr:row>
      <xdr:rowOff>119062</xdr:rowOff>
    </xdr:from>
    <xdr:to>
      <xdr:col>6</xdr:col>
      <xdr:colOff>23813</xdr:colOff>
      <xdr:row>8</xdr:row>
      <xdr:rowOff>119063</xdr:rowOff>
    </xdr:to>
    <xdr:cxnSp macro="">
      <xdr:nvCxnSpPr>
        <xdr:cNvPr id="5" name="Straight Arrow Connector 4">
          <a:extLst>
            <a:ext uri="{FF2B5EF4-FFF2-40B4-BE49-F238E27FC236}">
              <a16:creationId xmlns:a16="http://schemas.microsoft.com/office/drawing/2014/main" id="{00000000-0008-0000-0100-000005000000}"/>
            </a:ext>
          </a:extLst>
        </xdr:cNvPr>
        <xdr:cNvCxnSpPr/>
      </xdr:nvCxnSpPr>
      <xdr:spPr>
        <a:xfrm flipH="1">
          <a:off x="6381752" y="2119312"/>
          <a:ext cx="595311" cy="1"/>
        </a:xfrm>
        <a:prstGeom prst="straightConnector1">
          <a:avLst/>
        </a:prstGeom>
        <a:ln w="19050">
          <a:solidFill>
            <a:schemeClr val="accent4"/>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51</xdr:row>
      <xdr:rowOff>0</xdr:rowOff>
    </xdr:from>
    <xdr:to>
      <xdr:col>4</xdr:col>
      <xdr:colOff>373380</xdr:colOff>
      <xdr:row>61</xdr:row>
      <xdr:rowOff>68580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944880" y="8168640"/>
          <a:ext cx="4091940" cy="1897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system size estimate is based on typical room</a:t>
          </a:r>
          <a:r>
            <a:rPr lang="en-US" sz="1100" baseline="0"/>
            <a:t> and installation conditions for  a total flooding design for the the Class B machinery space fires described in the I-Vortex.1500 Design, Installation, and Maintainence manual.  Refer to the I-Vortex.1500 manual for specific design requirements for the Vortex 1500 system.  </a:t>
          </a:r>
        </a:p>
        <a:p>
          <a:endParaRPr lang="en-US" sz="1100" baseline="0"/>
        </a:p>
        <a:p>
          <a:r>
            <a:rPr lang="en-US" sz="1100" baseline="0"/>
            <a:t>Combustion Turbines and other applications where there is the potential to have hot surfaces or other sources of constant ignition may require longer discharge times and other design considerations, refer to I.Vortex 1500 Design, Installation, and Maintainence manual.</a:t>
          </a:r>
          <a:endParaRPr lang="en-US" sz="1100"/>
        </a:p>
      </xdr:txBody>
    </xdr:sp>
    <xdr:clientData/>
  </xdr:twoCellAnchor>
  <xdr:twoCellAnchor>
    <xdr:from>
      <xdr:col>9</xdr:col>
      <xdr:colOff>36674</xdr:colOff>
      <xdr:row>27</xdr:row>
      <xdr:rowOff>70095</xdr:rowOff>
    </xdr:from>
    <xdr:to>
      <xdr:col>13</xdr:col>
      <xdr:colOff>826383</xdr:colOff>
      <xdr:row>30</xdr:row>
      <xdr:rowOff>112474</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8723474" y="5265550"/>
          <a:ext cx="5334000" cy="6242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The Design Iteration tool is intended to provide a tool to</a:t>
          </a:r>
          <a:r>
            <a:rPr lang="en-US" sz="1100" baseline="0">
              <a:solidFill>
                <a:schemeClr val="dk1"/>
              </a:solidFill>
              <a:effectLst/>
              <a:latin typeface="+mn-lt"/>
              <a:ea typeface="+mn-ea"/>
              <a:cs typeface="+mn-cs"/>
            </a:rPr>
            <a:t> analyze the effects of adjusting nitrogen cylinder pressures, number of cylinders, and number of emitters.  It is does not provide recommended design information</a:t>
          </a:r>
          <a:endParaRPr lang="en-US">
            <a:effectLst/>
          </a:endParaRPr>
        </a:p>
        <a:p>
          <a:endParaRPr lang="en-US" sz="1100"/>
        </a:p>
      </xdr:txBody>
    </xdr:sp>
    <xdr:clientData/>
  </xdr:twoCellAnchor>
  <xdr:twoCellAnchor>
    <xdr:from>
      <xdr:col>5</xdr:col>
      <xdr:colOff>32657</xdr:colOff>
      <xdr:row>37</xdr:row>
      <xdr:rowOff>185057</xdr:rowOff>
    </xdr:from>
    <xdr:to>
      <xdr:col>5</xdr:col>
      <xdr:colOff>485775</xdr:colOff>
      <xdr:row>37</xdr:row>
      <xdr:rowOff>190500</xdr:rowOff>
    </xdr:to>
    <xdr:cxnSp macro="">
      <xdr:nvCxnSpPr>
        <xdr:cNvPr id="4" name="Straight Arrow Connector 3">
          <a:extLst>
            <a:ext uri="{FF2B5EF4-FFF2-40B4-BE49-F238E27FC236}">
              <a16:creationId xmlns:a16="http://schemas.microsoft.com/office/drawing/2014/main" id="{00000000-0008-0000-0200-000004000000}"/>
            </a:ext>
          </a:extLst>
        </xdr:cNvPr>
        <xdr:cNvCxnSpPr/>
      </xdr:nvCxnSpPr>
      <xdr:spPr>
        <a:xfrm flipH="1" flipV="1">
          <a:off x="6290582" y="7119257"/>
          <a:ext cx="453118" cy="5443"/>
        </a:xfrm>
        <a:prstGeom prst="straightConnector1">
          <a:avLst/>
        </a:prstGeom>
        <a:ln>
          <a:tailEnd type="triangle"/>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5</xdr:col>
      <xdr:colOff>48043</xdr:colOff>
      <xdr:row>42</xdr:row>
      <xdr:rowOff>79549</xdr:rowOff>
    </xdr:from>
    <xdr:to>
      <xdr:col>5</xdr:col>
      <xdr:colOff>501161</xdr:colOff>
      <xdr:row>42</xdr:row>
      <xdr:rowOff>84992</xdr:rowOff>
    </xdr:to>
    <xdr:cxnSp macro="">
      <xdr:nvCxnSpPr>
        <xdr:cNvPr id="7" name="Straight Arrow Connector 6">
          <a:extLst>
            <a:ext uri="{FF2B5EF4-FFF2-40B4-BE49-F238E27FC236}">
              <a16:creationId xmlns:a16="http://schemas.microsoft.com/office/drawing/2014/main" id="{00000000-0008-0000-0200-000007000000}"/>
            </a:ext>
          </a:extLst>
        </xdr:cNvPr>
        <xdr:cNvCxnSpPr/>
      </xdr:nvCxnSpPr>
      <xdr:spPr>
        <a:xfrm flipH="1" flipV="1">
          <a:off x="6302305" y="8033657"/>
          <a:ext cx="453118" cy="5443"/>
        </a:xfrm>
        <a:prstGeom prst="straightConnector1">
          <a:avLst/>
        </a:prstGeom>
        <a:ln>
          <a:tailEnd type="triangle"/>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5</xdr:col>
      <xdr:colOff>51838</xdr:colOff>
      <xdr:row>48</xdr:row>
      <xdr:rowOff>99646</xdr:rowOff>
    </xdr:from>
    <xdr:to>
      <xdr:col>5</xdr:col>
      <xdr:colOff>504956</xdr:colOff>
      <xdr:row>48</xdr:row>
      <xdr:rowOff>105089</xdr:rowOff>
    </xdr:to>
    <xdr:cxnSp macro="">
      <xdr:nvCxnSpPr>
        <xdr:cNvPr id="8" name="Straight Arrow Connector 7">
          <a:extLst>
            <a:ext uri="{FF2B5EF4-FFF2-40B4-BE49-F238E27FC236}">
              <a16:creationId xmlns:a16="http://schemas.microsoft.com/office/drawing/2014/main" id="{00000000-0008-0000-0200-000008000000}"/>
            </a:ext>
          </a:extLst>
        </xdr:cNvPr>
        <xdr:cNvCxnSpPr/>
      </xdr:nvCxnSpPr>
      <xdr:spPr>
        <a:xfrm flipH="1" flipV="1">
          <a:off x="6159744" y="10065177"/>
          <a:ext cx="453118" cy="5443"/>
        </a:xfrm>
        <a:prstGeom prst="straightConnector1">
          <a:avLst/>
        </a:prstGeom>
        <a:ln>
          <a:tailEnd type="triangle"/>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5</xdr:col>
      <xdr:colOff>46525</xdr:colOff>
      <xdr:row>46</xdr:row>
      <xdr:rowOff>0</xdr:rowOff>
    </xdr:from>
    <xdr:to>
      <xdr:col>5</xdr:col>
      <xdr:colOff>499643</xdr:colOff>
      <xdr:row>46</xdr:row>
      <xdr:rowOff>5443</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H="1" flipV="1">
          <a:off x="6154431" y="9489281"/>
          <a:ext cx="453118" cy="5443"/>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29141</xdr:colOff>
      <xdr:row>8</xdr:row>
      <xdr:rowOff>107155</xdr:rowOff>
    </xdr:from>
    <xdr:to>
      <xdr:col>6</xdr:col>
      <xdr:colOff>4667</xdr:colOff>
      <xdr:row>8</xdr:row>
      <xdr:rowOff>107156</xdr:rowOff>
    </xdr:to>
    <xdr:cxnSp macro="">
      <xdr:nvCxnSpPr>
        <xdr:cNvPr id="11" name="Straight Arrow Connector 10">
          <a:extLst>
            <a:ext uri="{FF2B5EF4-FFF2-40B4-BE49-F238E27FC236}">
              <a16:creationId xmlns:a16="http://schemas.microsoft.com/office/drawing/2014/main" id="{00000000-0008-0000-0200-00000B000000}"/>
            </a:ext>
          </a:extLst>
        </xdr:cNvPr>
        <xdr:cNvCxnSpPr/>
      </xdr:nvCxnSpPr>
      <xdr:spPr>
        <a:xfrm flipH="1">
          <a:off x="6137047" y="2047874"/>
          <a:ext cx="582745" cy="1"/>
        </a:xfrm>
        <a:prstGeom prst="straightConnector1">
          <a:avLst/>
        </a:prstGeom>
        <a:ln w="19050">
          <a:solidFill>
            <a:schemeClr val="accent4"/>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51</xdr:row>
      <xdr:rowOff>0</xdr:rowOff>
    </xdr:from>
    <xdr:to>
      <xdr:col>4</xdr:col>
      <xdr:colOff>373380</xdr:colOff>
      <xdr:row>61</xdr:row>
      <xdr:rowOff>68580</xdr:rowOff>
    </xdr:to>
    <xdr:sp macro="" textlink="">
      <xdr:nvSpPr>
        <xdr:cNvPr id="2" name="TextBox 1">
          <a:extLst>
            <a:ext uri="{FF2B5EF4-FFF2-40B4-BE49-F238E27FC236}">
              <a16:creationId xmlns:a16="http://schemas.microsoft.com/office/drawing/2014/main" id="{96AAB02F-FFE8-43E5-ABDC-0A7B7C59094F}"/>
            </a:ext>
          </a:extLst>
        </xdr:cNvPr>
        <xdr:cNvSpPr txBox="1"/>
      </xdr:nvSpPr>
      <xdr:spPr>
        <a:xfrm>
          <a:off x="914400" y="10639425"/>
          <a:ext cx="4945380" cy="19735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system size estimate is based on typical room</a:t>
          </a:r>
          <a:r>
            <a:rPr lang="en-US" sz="1100" baseline="0"/>
            <a:t> and installation conditions for  a total flooding design for the the Class B machinery space fires described in the I-Vortex.1500 Design, Installation, and Maintainence manual.  Refer to the I-Vortex.1500 manual for specific design requirements for the Vortex 1500 system.  </a:t>
          </a:r>
        </a:p>
        <a:p>
          <a:endParaRPr lang="en-US" sz="1100" baseline="0"/>
        </a:p>
        <a:p>
          <a:r>
            <a:rPr lang="en-US" sz="1100" baseline="0"/>
            <a:t>Combustion Turbines and other applications where there is the potential to have hot surfaces or other sources of constant ignition may require longer discharge times and other design considerations, refer to I.Vortex 1500 Design, Installation, and Maintainence manual.</a:t>
          </a:r>
          <a:endParaRPr lang="en-US" sz="1100"/>
        </a:p>
      </xdr:txBody>
    </xdr:sp>
    <xdr:clientData/>
  </xdr:twoCellAnchor>
  <xdr:twoCellAnchor>
    <xdr:from>
      <xdr:col>9</xdr:col>
      <xdr:colOff>36674</xdr:colOff>
      <xdr:row>27</xdr:row>
      <xdr:rowOff>70095</xdr:rowOff>
    </xdr:from>
    <xdr:to>
      <xdr:col>13</xdr:col>
      <xdr:colOff>826383</xdr:colOff>
      <xdr:row>30</xdr:row>
      <xdr:rowOff>112474</xdr:rowOff>
    </xdr:to>
    <xdr:sp macro="" textlink="">
      <xdr:nvSpPr>
        <xdr:cNvPr id="3" name="TextBox 2">
          <a:extLst>
            <a:ext uri="{FF2B5EF4-FFF2-40B4-BE49-F238E27FC236}">
              <a16:creationId xmlns:a16="http://schemas.microsoft.com/office/drawing/2014/main" id="{284FE0A6-46C3-49A6-B396-6DB6B834625C}"/>
            </a:ext>
          </a:extLst>
        </xdr:cNvPr>
        <xdr:cNvSpPr txBox="1"/>
      </xdr:nvSpPr>
      <xdr:spPr>
        <a:xfrm>
          <a:off x="8561549" y="5651745"/>
          <a:ext cx="5247409" cy="7281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The Design Iteration tool is intended to provide a tool to</a:t>
          </a:r>
          <a:r>
            <a:rPr lang="en-US" sz="1100" baseline="0">
              <a:solidFill>
                <a:schemeClr val="dk1"/>
              </a:solidFill>
              <a:effectLst/>
              <a:latin typeface="+mn-lt"/>
              <a:ea typeface="+mn-ea"/>
              <a:cs typeface="+mn-cs"/>
            </a:rPr>
            <a:t> analyze the effects of adjusting nitrogen cylinder pressures, number of cylinders, and number of emitters.  It is does not provide recommended design information</a:t>
          </a:r>
          <a:endParaRPr lang="en-US">
            <a:effectLst/>
          </a:endParaRPr>
        </a:p>
        <a:p>
          <a:endParaRPr lang="en-US" sz="1100"/>
        </a:p>
      </xdr:txBody>
    </xdr:sp>
    <xdr:clientData/>
  </xdr:twoCellAnchor>
  <xdr:twoCellAnchor>
    <xdr:from>
      <xdr:col>5</xdr:col>
      <xdr:colOff>32657</xdr:colOff>
      <xdr:row>37</xdr:row>
      <xdr:rowOff>185057</xdr:rowOff>
    </xdr:from>
    <xdr:to>
      <xdr:col>5</xdr:col>
      <xdr:colOff>485775</xdr:colOff>
      <xdr:row>37</xdr:row>
      <xdr:rowOff>190500</xdr:rowOff>
    </xdr:to>
    <xdr:cxnSp macro="">
      <xdr:nvCxnSpPr>
        <xdr:cNvPr id="4" name="Straight Arrow Connector 3">
          <a:extLst>
            <a:ext uri="{FF2B5EF4-FFF2-40B4-BE49-F238E27FC236}">
              <a16:creationId xmlns:a16="http://schemas.microsoft.com/office/drawing/2014/main" id="{49D90C33-ABB0-454D-AA06-4D60DB50E353}"/>
            </a:ext>
          </a:extLst>
        </xdr:cNvPr>
        <xdr:cNvCxnSpPr/>
      </xdr:nvCxnSpPr>
      <xdr:spPr>
        <a:xfrm flipH="1" flipV="1">
          <a:off x="6128657" y="7700282"/>
          <a:ext cx="453118" cy="5443"/>
        </a:xfrm>
        <a:prstGeom prst="straightConnector1">
          <a:avLst/>
        </a:prstGeom>
        <a:ln>
          <a:tailEnd type="triangle"/>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5</xdr:col>
      <xdr:colOff>48043</xdr:colOff>
      <xdr:row>42</xdr:row>
      <xdr:rowOff>79549</xdr:rowOff>
    </xdr:from>
    <xdr:to>
      <xdr:col>5</xdr:col>
      <xdr:colOff>501161</xdr:colOff>
      <xdr:row>42</xdr:row>
      <xdr:rowOff>84992</xdr:rowOff>
    </xdr:to>
    <xdr:cxnSp macro="">
      <xdr:nvCxnSpPr>
        <xdr:cNvPr id="5" name="Straight Arrow Connector 4">
          <a:extLst>
            <a:ext uri="{FF2B5EF4-FFF2-40B4-BE49-F238E27FC236}">
              <a16:creationId xmlns:a16="http://schemas.microsoft.com/office/drawing/2014/main" id="{EDCB94EE-5195-4130-B98A-0F689E2007BA}"/>
            </a:ext>
          </a:extLst>
        </xdr:cNvPr>
        <xdr:cNvCxnSpPr/>
      </xdr:nvCxnSpPr>
      <xdr:spPr>
        <a:xfrm flipH="1" flipV="1">
          <a:off x="6144043" y="8718724"/>
          <a:ext cx="453118" cy="5443"/>
        </a:xfrm>
        <a:prstGeom prst="straightConnector1">
          <a:avLst/>
        </a:prstGeom>
        <a:ln>
          <a:tailEnd type="triangle"/>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5</xdr:col>
      <xdr:colOff>51838</xdr:colOff>
      <xdr:row>48</xdr:row>
      <xdr:rowOff>99646</xdr:rowOff>
    </xdr:from>
    <xdr:to>
      <xdr:col>5</xdr:col>
      <xdr:colOff>504956</xdr:colOff>
      <xdr:row>48</xdr:row>
      <xdr:rowOff>105089</xdr:rowOff>
    </xdr:to>
    <xdr:cxnSp macro="">
      <xdr:nvCxnSpPr>
        <xdr:cNvPr id="6" name="Straight Arrow Connector 5">
          <a:extLst>
            <a:ext uri="{FF2B5EF4-FFF2-40B4-BE49-F238E27FC236}">
              <a16:creationId xmlns:a16="http://schemas.microsoft.com/office/drawing/2014/main" id="{201244D9-2B01-41DD-9FE2-D2C407570272}"/>
            </a:ext>
          </a:extLst>
        </xdr:cNvPr>
        <xdr:cNvCxnSpPr/>
      </xdr:nvCxnSpPr>
      <xdr:spPr>
        <a:xfrm flipH="1" flipV="1">
          <a:off x="6147838" y="10072321"/>
          <a:ext cx="453118" cy="5443"/>
        </a:xfrm>
        <a:prstGeom prst="straightConnector1">
          <a:avLst/>
        </a:prstGeom>
        <a:ln>
          <a:tailEnd type="triangle"/>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5</xdr:col>
      <xdr:colOff>46525</xdr:colOff>
      <xdr:row>46</xdr:row>
      <xdr:rowOff>0</xdr:rowOff>
    </xdr:from>
    <xdr:to>
      <xdr:col>5</xdr:col>
      <xdr:colOff>499643</xdr:colOff>
      <xdr:row>46</xdr:row>
      <xdr:rowOff>5443</xdr:rowOff>
    </xdr:to>
    <xdr:cxnSp macro="">
      <xdr:nvCxnSpPr>
        <xdr:cNvPr id="7" name="Straight Arrow Connector 6">
          <a:extLst>
            <a:ext uri="{FF2B5EF4-FFF2-40B4-BE49-F238E27FC236}">
              <a16:creationId xmlns:a16="http://schemas.microsoft.com/office/drawing/2014/main" id="{9B39C857-CCAC-4522-B0BD-73B642ADAACD}"/>
            </a:ext>
          </a:extLst>
        </xdr:cNvPr>
        <xdr:cNvCxnSpPr/>
      </xdr:nvCxnSpPr>
      <xdr:spPr>
        <a:xfrm flipH="1" flipV="1">
          <a:off x="6142525" y="9496425"/>
          <a:ext cx="453118" cy="5443"/>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29141</xdr:colOff>
      <xdr:row>8</xdr:row>
      <xdr:rowOff>107155</xdr:rowOff>
    </xdr:from>
    <xdr:to>
      <xdr:col>6</xdr:col>
      <xdr:colOff>4667</xdr:colOff>
      <xdr:row>8</xdr:row>
      <xdr:rowOff>107156</xdr:rowOff>
    </xdr:to>
    <xdr:cxnSp macro="">
      <xdr:nvCxnSpPr>
        <xdr:cNvPr id="8" name="Straight Arrow Connector 7">
          <a:extLst>
            <a:ext uri="{FF2B5EF4-FFF2-40B4-BE49-F238E27FC236}">
              <a16:creationId xmlns:a16="http://schemas.microsoft.com/office/drawing/2014/main" id="{06A382BD-B509-4A09-AE47-28E56E573B14}"/>
            </a:ext>
          </a:extLst>
        </xdr:cNvPr>
        <xdr:cNvCxnSpPr/>
      </xdr:nvCxnSpPr>
      <xdr:spPr>
        <a:xfrm flipH="1">
          <a:off x="6125141" y="2050255"/>
          <a:ext cx="585126" cy="1"/>
        </a:xfrm>
        <a:prstGeom prst="straightConnector1">
          <a:avLst/>
        </a:prstGeom>
        <a:ln w="19050">
          <a:solidFill>
            <a:schemeClr val="accent4"/>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58</xdr:row>
      <xdr:rowOff>1</xdr:rowOff>
    </xdr:from>
    <xdr:to>
      <xdr:col>4</xdr:col>
      <xdr:colOff>557448</xdr:colOff>
      <xdr:row>65</xdr:row>
      <xdr:rowOff>152401</xdr:rowOff>
    </xdr:to>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947057" y="10406744"/>
          <a:ext cx="4280362"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Refert to the I-Vortex.1500 Design, Installation, and Maintainence manual for specific design requirements for the Vortex 1500 system.  </a:t>
          </a:r>
        </a:p>
        <a:p>
          <a:endParaRPr lang="en-US" sz="1100" baseline="0"/>
        </a:p>
        <a:p>
          <a:r>
            <a:rPr lang="en-US" sz="1100" baseline="0"/>
            <a:t>Combustion Turbines and other applications where there is the potential to have hot surfaces or other sources of constant ignition may require longer discharge times and other design considerations, refer to I.Vortex 1500 Design, Installation, and Maintainence manual.</a:t>
          </a:r>
          <a:endParaRPr lang="en-US" sz="1100"/>
        </a:p>
      </xdr:txBody>
    </xdr:sp>
    <xdr:clientData/>
  </xdr:twoCellAnchor>
  <xdr:twoCellAnchor>
    <xdr:from>
      <xdr:col>10</xdr:col>
      <xdr:colOff>38598</xdr:colOff>
      <xdr:row>28</xdr:row>
      <xdr:rowOff>21772</xdr:rowOff>
    </xdr:from>
    <xdr:to>
      <xdr:col>14</xdr:col>
      <xdr:colOff>511630</xdr:colOff>
      <xdr:row>31</xdr:row>
      <xdr:rowOff>76200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8888684" y="6117772"/>
          <a:ext cx="5262746" cy="6531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The Design Iteration tool is intended to provide a tool to</a:t>
          </a:r>
          <a:r>
            <a:rPr lang="en-US" sz="1100" baseline="0">
              <a:solidFill>
                <a:schemeClr val="dk1"/>
              </a:solidFill>
              <a:effectLst/>
              <a:latin typeface="+mn-lt"/>
              <a:ea typeface="+mn-ea"/>
              <a:cs typeface="+mn-cs"/>
            </a:rPr>
            <a:t> analyze the effects of adjusting nitrogen cylinder pressures, number of cylinders, and number of emitters.  It is does not provide recommended design information</a:t>
          </a:r>
          <a:endParaRPr lang="en-US">
            <a:effectLst/>
          </a:endParaRPr>
        </a:p>
        <a:p>
          <a:endParaRPr lang="en-US" sz="1100"/>
        </a:p>
      </xdr:txBody>
    </xdr:sp>
    <xdr:clientData/>
  </xdr:twoCellAnchor>
  <xdr:twoCellAnchor>
    <xdr:from>
      <xdr:col>5</xdr:col>
      <xdr:colOff>15766</xdr:colOff>
      <xdr:row>42</xdr:row>
      <xdr:rowOff>76200</xdr:rowOff>
    </xdr:from>
    <xdr:to>
      <xdr:col>5</xdr:col>
      <xdr:colOff>435429</xdr:colOff>
      <xdr:row>42</xdr:row>
      <xdr:rowOff>78827</xdr:rowOff>
    </xdr:to>
    <xdr:cxnSp macro="">
      <xdr:nvCxnSpPr>
        <xdr:cNvPr id="4" name="Straight Arrow Connector 3">
          <a:extLst>
            <a:ext uri="{FF2B5EF4-FFF2-40B4-BE49-F238E27FC236}">
              <a16:creationId xmlns:a16="http://schemas.microsoft.com/office/drawing/2014/main" id="{00000000-0008-0000-0300-000004000000}"/>
            </a:ext>
          </a:extLst>
        </xdr:cNvPr>
        <xdr:cNvCxnSpPr/>
      </xdr:nvCxnSpPr>
      <xdr:spPr>
        <a:xfrm flipH="1">
          <a:off x="5817476" y="7927428"/>
          <a:ext cx="419663" cy="2627"/>
        </a:xfrm>
        <a:prstGeom prst="straightConnector1">
          <a:avLst/>
        </a:prstGeom>
        <a:ln>
          <a:tailEnd type="triangle"/>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5</xdr:col>
      <xdr:colOff>26276</xdr:colOff>
      <xdr:row>47</xdr:row>
      <xdr:rowOff>80838</xdr:rowOff>
    </xdr:from>
    <xdr:to>
      <xdr:col>5</xdr:col>
      <xdr:colOff>445939</xdr:colOff>
      <xdr:row>47</xdr:row>
      <xdr:rowOff>83465</xdr:rowOff>
    </xdr:to>
    <xdr:cxnSp macro="">
      <xdr:nvCxnSpPr>
        <xdr:cNvPr id="7" name="Straight Arrow Connector 6">
          <a:extLst>
            <a:ext uri="{FF2B5EF4-FFF2-40B4-BE49-F238E27FC236}">
              <a16:creationId xmlns:a16="http://schemas.microsoft.com/office/drawing/2014/main" id="{00000000-0008-0000-0300-000007000000}"/>
            </a:ext>
          </a:extLst>
        </xdr:cNvPr>
        <xdr:cNvCxnSpPr/>
      </xdr:nvCxnSpPr>
      <xdr:spPr>
        <a:xfrm flipH="1">
          <a:off x="5817476" y="9404132"/>
          <a:ext cx="419663" cy="2627"/>
        </a:xfrm>
        <a:prstGeom prst="straightConnector1">
          <a:avLst/>
        </a:prstGeom>
        <a:ln>
          <a:tailEnd type="triangle"/>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5</xdr:col>
      <xdr:colOff>42041</xdr:colOff>
      <xdr:row>55</xdr:row>
      <xdr:rowOff>102476</xdr:rowOff>
    </xdr:from>
    <xdr:to>
      <xdr:col>5</xdr:col>
      <xdr:colOff>461704</xdr:colOff>
      <xdr:row>55</xdr:row>
      <xdr:rowOff>105103</xdr:rowOff>
    </xdr:to>
    <xdr:cxnSp macro="">
      <xdr:nvCxnSpPr>
        <xdr:cNvPr id="8" name="Straight Arrow Connector 7">
          <a:extLst>
            <a:ext uri="{FF2B5EF4-FFF2-40B4-BE49-F238E27FC236}">
              <a16:creationId xmlns:a16="http://schemas.microsoft.com/office/drawing/2014/main" id="{00000000-0008-0000-0300-000008000000}"/>
            </a:ext>
          </a:extLst>
        </xdr:cNvPr>
        <xdr:cNvCxnSpPr/>
      </xdr:nvCxnSpPr>
      <xdr:spPr>
        <a:xfrm flipH="1">
          <a:off x="5843751" y="10150366"/>
          <a:ext cx="419663" cy="2627"/>
        </a:xfrm>
        <a:prstGeom prst="straightConnector1">
          <a:avLst/>
        </a:prstGeom>
        <a:ln>
          <a:tailEnd type="triangle"/>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5</xdr:col>
      <xdr:colOff>31530</xdr:colOff>
      <xdr:row>51</xdr:row>
      <xdr:rowOff>97221</xdr:rowOff>
    </xdr:from>
    <xdr:to>
      <xdr:col>5</xdr:col>
      <xdr:colOff>451193</xdr:colOff>
      <xdr:row>51</xdr:row>
      <xdr:rowOff>99848</xdr:rowOff>
    </xdr:to>
    <xdr:cxnSp macro="">
      <xdr:nvCxnSpPr>
        <xdr:cNvPr id="9" name="Straight Arrow Connector 8">
          <a:extLst>
            <a:ext uri="{FF2B5EF4-FFF2-40B4-BE49-F238E27FC236}">
              <a16:creationId xmlns:a16="http://schemas.microsoft.com/office/drawing/2014/main" id="{00000000-0008-0000-0300-000009000000}"/>
            </a:ext>
          </a:extLst>
        </xdr:cNvPr>
        <xdr:cNvCxnSpPr/>
      </xdr:nvCxnSpPr>
      <xdr:spPr>
        <a:xfrm flipH="1">
          <a:off x="5833240" y="9335814"/>
          <a:ext cx="419663" cy="2627"/>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0</xdr:col>
      <xdr:colOff>0</xdr:colOff>
      <xdr:row>31</xdr:row>
      <xdr:rowOff>163287</xdr:rowOff>
    </xdr:from>
    <xdr:to>
      <xdr:col>5</xdr:col>
      <xdr:colOff>0</xdr:colOff>
      <xdr:row>39</xdr:row>
      <xdr:rowOff>63</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0" y="7559169"/>
          <a:ext cx="5791200" cy="383623"/>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US" sz="1800"/>
            <a:t>Estimated Design Results</a:t>
          </a:r>
        </a:p>
      </xdr:txBody>
    </xdr:sp>
    <xdr:clientData/>
  </xdr:twoCellAnchor>
  <xdr:twoCellAnchor>
    <xdr:from>
      <xdr:col>9</xdr:col>
      <xdr:colOff>600636</xdr:colOff>
      <xdr:row>26</xdr:row>
      <xdr:rowOff>10047</xdr:rowOff>
    </xdr:from>
    <xdr:to>
      <xdr:col>15</xdr:col>
      <xdr:colOff>0</xdr:colOff>
      <xdr:row>27</xdr:row>
      <xdr:rowOff>196446</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830236" y="6043294"/>
          <a:ext cx="5414682" cy="383623"/>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US" sz="1800"/>
            <a:t>Design</a:t>
          </a:r>
          <a:r>
            <a:rPr lang="en-US" sz="1800" baseline="0"/>
            <a:t> Iteration Tool</a:t>
          </a:r>
          <a:endParaRPr lang="en-US" sz="1800"/>
        </a:p>
      </xdr:txBody>
    </xdr:sp>
    <xdr:clientData/>
  </xdr:twoCellAnchor>
  <xdr:twoCellAnchor>
    <xdr:from>
      <xdr:col>5</xdr:col>
      <xdr:colOff>23812</xdr:colOff>
      <xdr:row>25</xdr:row>
      <xdr:rowOff>142874</xdr:rowOff>
    </xdr:from>
    <xdr:to>
      <xdr:col>6</xdr:col>
      <xdr:colOff>-1</xdr:colOff>
      <xdr:row>25</xdr:row>
      <xdr:rowOff>142874</xdr:rowOff>
    </xdr:to>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a:off x="6012656" y="6596062"/>
          <a:ext cx="583406" cy="0"/>
        </a:xfrm>
        <a:prstGeom prst="straightConnector1">
          <a:avLst/>
        </a:prstGeom>
        <a:ln w="19050">
          <a:solidFill>
            <a:schemeClr val="accent4"/>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942108</xdr:colOff>
      <xdr:row>35</xdr:row>
      <xdr:rowOff>0</xdr:rowOff>
    </xdr:from>
    <xdr:to>
      <xdr:col>9</xdr:col>
      <xdr:colOff>0</xdr:colOff>
      <xdr:row>39</xdr:row>
      <xdr:rowOff>110836</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942108" y="7301345"/>
          <a:ext cx="11817927" cy="8312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system size estimate is based on the recommended</a:t>
          </a:r>
          <a:r>
            <a:rPr lang="en-US" sz="1100" baseline="0"/>
            <a:t> design for FM approved protection of machinery spaces and combustion turbines.  Refer to I.Vortex 1000 Design, Installation and Maintainence Manual for specific design requirments of the Vortex 1000 system</a:t>
          </a:r>
        </a:p>
        <a:p>
          <a:endParaRPr lang="en-US" sz="1100" baseline="0"/>
        </a:p>
        <a:p>
          <a:r>
            <a:rPr lang="en-US" sz="1100" baseline="0"/>
            <a:t>Combustion Turbines and other applications where there is the potential to have hot surfaces or other sources of constant ignition may require longer discharge times and other design considerations, refer to I.Vortex 1000 Design, Installation, and Maintainence manual.</a:t>
          </a:r>
          <a:endParaRPr lang="en-US" sz="1100"/>
        </a:p>
      </xdr:txBody>
    </xdr:sp>
    <xdr:clientData/>
  </xdr:twoCellAnchor>
  <xdr:twoCellAnchor>
    <xdr:from>
      <xdr:col>5</xdr:col>
      <xdr:colOff>35859</xdr:colOff>
      <xdr:row>23</xdr:row>
      <xdr:rowOff>89647</xdr:rowOff>
    </xdr:from>
    <xdr:to>
      <xdr:col>5</xdr:col>
      <xdr:colOff>496389</xdr:colOff>
      <xdr:row>23</xdr:row>
      <xdr:rowOff>95794</xdr:rowOff>
    </xdr:to>
    <xdr:cxnSp macro="">
      <xdr:nvCxnSpPr>
        <xdr:cNvPr id="4" name="Straight Arrow Connector 3">
          <a:extLst>
            <a:ext uri="{FF2B5EF4-FFF2-40B4-BE49-F238E27FC236}">
              <a16:creationId xmlns:a16="http://schemas.microsoft.com/office/drawing/2014/main" id="{00000000-0008-0000-0400-000004000000}"/>
            </a:ext>
          </a:extLst>
        </xdr:cNvPr>
        <xdr:cNvCxnSpPr/>
      </xdr:nvCxnSpPr>
      <xdr:spPr>
        <a:xfrm flipH="1" flipV="1">
          <a:off x="5509196" y="4679064"/>
          <a:ext cx="460530" cy="6147"/>
        </a:xfrm>
        <a:prstGeom prst="straightConnector1">
          <a:avLst/>
        </a:prstGeom>
        <a:ln>
          <a:tailEnd type="triangle"/>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5</xdr:col>
      <xdr:colOff>22797</xdr:colOff>
      <xdr:row>27</xdr:row>
      <xdr:rowOff>185442</xdr:rowOff>
    </xdr:from>
    <xdr:to>
      <xdr:col>5</xdr:col>
      <xdr:colOff>483327</xdr:colOff>
      <xdr:row>27</xdr:row>
      <xdr:rowOff>191589</xdr:rowOff>
    </xdr:to>
    <xdr:cxnSp macro="">
      <xdr:nvCxnSpPr>
        <xdr:cNvPr id="6" name="Straight Arrow Connector 5">
          <a:extLst>
            <a:ext uri="{FF2B5EF4-FFF2-40B4-BE49-F238E27FC236}">
              <a16:creationId xmlns:a16="http://schemas.microsoft.com/office/drawing/2014/main" id="{00000000-0008-0000-0400-000006000000}"/>
            </a:ext>
          </a:extLst>
        </xdr:cNvPr>
        <xdr:cNvCxnSpPr/>
      </xdr:nvCxnSpPr>
      <xdr:spPr>
        <a:xfrm flipH="1" flipV="1">
          <a:off x="5496134" y="5340916"/>
          <a:ext cx="460530" cy="6147"/>
        </a:xfrm>
        <a:prstGeom prst="straightConnector1">
          <a:avLst/>
        </a:prstGeom>
        <a:ln>
          <a:tailEnd type="triangle"/>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5</xdr:col>
      <xdr:colOff>18443</xdr:colOff>
      <xdr:row>32</xdr:row>
      <xdr:rowOff>98354</xdr:rowOff>
    </xdr:from>
    <xdr:to>
      <xdr:col>5</xdr:col>
      <xdr:colOff>478973</xdr:colOff>
      <xdr:row>32</xdr:row>
      <xdr:rowOff>104501</xdr:rowOff>
    </xdr:to>
    <xdr:cxnSp macro="">
      <xdr:nvCxnSpPr>
        <xdr:cNvPr id="7" name="Straight Arrow Connector 6">
          <a:extLst>
            <a:ext uri="{FF2B5EF4-FFF2-40B4-BE49-F238E27FC236}">
              <a16:creationId xmlns:a16="http://schemas.microsoft.com/office/drawing/2014/main" id="{00000000-0008-0000-0400-000007000000}"/>
            </a:ext>
          </a:extLst>
        </xdr:cNvPr>
        <xdr:cNvCxnSpPr/>
      </xdr:nvCxnSpPr>
      <xdr:spPr>
        <a:xfrm flipH="1" flipV="1">
          <a:off x="5491780" y="5837303"/>
          <a:ext cx="460530" cy="6147"/>
        </a:xfrm>
        <a:prstGeom prst="straightConnector1">
          <a:avLst/>
        </a:prstGeom>
        <a:ln>
          <a:tailEnd type="triangle"/>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5</xdr:col>
      <xdr:colOff>23812</xdr:colOff>
      <xdr:row>8</xdr:row>
      <xdr:rowOff>95250</xdr:rowOff>
    </xdr:from>
    <xdr:to>
      <xdr:col>5</xdr:col>
      <xdr:colOff>198339</xdr:colOff>
      <xdr:row>8</xdr:row>
      <xdr:rowOff>97705</xdr:rowOff>
    </xdr:to>
    <xdr:cxnSp macro="">
      <xdr:nvCxnSpPr>
        <xdr:cNvPr id="11" name="Straight Arrow Connector 10">
          <a:extLst>
            <a:ext uri="{FF2B5EF4-FFF2-40B4-BE49-F238E27FC236}">
              <a16:creationId xmlns:a16="http://schemas.microsoft.com/office/drawing/2014/main" id="{00000000-0008-0000-0400-00000B000000}"/>
            </a:ext>
          </a:extLst>
        </xdr:cNvPr>
        <xdr:cNvCxnSpPr/>
      </xdr:nvCxnSpPr>
      <xdr:spPr>
        <a:xfrm flipH="1" flipV="1">
          <a:off x="5929312" y="2250281"/>
          <a:ext cx="174527" cy="2455"/>
        </a:xfrm>
        <a:prstGeom prst="straightConnector1">
          <a:avLst/>
        </a:prstGeom>
        <a:ln>
          <a:tailEnd type="triangle"/>
        </a:ln>
      </xdr:spPr>
      <xdr:style>
        <a:lnRef idx="2">
          <a:schemeClr val="accent4"/>
        </a:lnRef>
        <a:fillRef idx="0">
          <a:schemeClr val="accent4"/>
        </a:fillRef>
        <a:effectRef idx="1">
          <a:schemeClr val="accent4"/>
        </a:effectRef>
        <a:fontRef idx="minor">
          <a:schemeClr val="tx1"/>
        </a:fontRef>
      </xdr:style>
    </xdr:cxnSp>
    <xdr:clientData/>
  </xdr:twoCellAnchor>
  <xdr:twoCellAnchor>
    <xdr:from>
      <xdr:col>5</xdr:col>
      <xdr:colOff>6538</xdr:colOff>
      <xdr:row>30</xdr:row>
      <xdr:rowOff>119063</xdr:rowOff>
    </xdr:from>
    <xdr:to>
      <xdr:col>5</xdr:col>
      <xdr:colOff>404812</xdr:colOff>
      <xdr:row>30</xdr:row>
      <xdr:rowOff>122169</xdr:rowOff>
    </xdr:to>
    <xdr:cxnSp macro="">
      <xdr:nvCxnSpPr>
        <xdr:cNvPr id="8" name="Straight Arrow Connector 7">
          <a:extLst>
            <a:ext uri="{FF2B5EF4-FFF2-40B4-BE49-F238E27FC236}">
              <a16:creationId xmlns:a16="http://schemas.microsoft.com/office/drawing/2014/main" id="{00000000-0008-0000-0400-000008000000}"/>
            </a:ext>
          </a:extLst>
        </xdr:cNvPr>
        <xdr:cNvCxnSpPr/>
      </xdr:nvCxnSpPr>
      <xdr:spPr>
        <a:xfrm flipH="1">
          <a:off x="5912038" y="6941344"/>
          <a:ext cx="398274" cy="3106"/>
        </a:xfrm>
        <a:prstGeom prst="straightConnector1">
          <a:avLst/>
        </a:prstGeom>
        <a:ln>
          <a:tailEnd type="triangle"/>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5</xdr:col>
      <xdr:colOff>11907</xdr:colOff>
      <xdr:row>9</xdr:row>
      <xdr:rowOff>130969</xdr:rowOff>
    </xdr:from>
    <xdr:to>
      <xdr:col>5</xdr:col>
      <xdr:colOff>809625</xdr:colOff>
      <xdr:row>9</xdr:row>
      <xdr:rowOff>130970</xdr:rowOff>
    </xdr:to>
    <xdr:cxnSp macro="">
      <xdr:nvCxnSpPr>
        <xdr:cNvPr id="12" name="Straight Arrow Connector 11">
          <a:extLst>
            <a:ext uri="{FF2B5EF4-FFF2-40B4-BE49-F238E27FC236}">
              <a16:creationId xmlns:a16="http://schemas.microsoft.com/office/drawing/2014/main" id="{00000000-0008-0000-0400-00000C000000}"/>
            </a:ext>
          </a:extLst>
        </xdr:cNvPr>
        <xdr:cNvCxnSpPr/>
      </xdr:nvCxnSpPr>
      <xdr:spPr>
        <a:xfrm flipH="1">
          <a:off x="5917407" y="2476500"/>
          <a:ext cx="797718" cy="1"/>
        </a:xfrm>
        <a:prstGeom prst="straightConnector1">
          <a:avLst/>
        </a:prstGeom>
        <a:ln w="19050">
          <a:solidFill>
            <a:schemeClr val="accent4"/>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28575</xdr:colOff>
      <xdr:row>28</xdr:row>
      <xdr:rowOff>2815</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
        <a:stretch>
          <a:fillRect/>
        </a:stretch>
      </xdr:blipFill>
      <xdr:spPr>
        <a:xfrm>
          <a:off x="0" y="0"/>
          <a:ext cx="7315200" cy="5336815"/>
        </a:xfrm>
        <a:prstGeom prst="rect">
          <a:avLst/>
        </a:prstGeom>
        <a:ln w="31750">
          <a:solidFill>
            <a:schemeClr val="tx1"/>
          </a:solidFill>
        </a:ln>
      </xdr:spPr>
    </xdr:pic>
    <xdr:clientData/>
  </xdr:twoCellAnchor>
  <xdr:twoCellAnchor editAs="oneCell">
    <xdr:from>
      <xdr:col>12</xdr:col>
      <xdr:colOff>95253</xdr:colOff>
      <xdr:row>0</xdr:row>
      <xdr:rowOff>0</xdr:rowOff>
    </xdr:from>
    <xdr:to>
      <xdr:col>24</xdr:col>
      <xdr:colOff>53840</xdr:colOff>
      <xdr:row>28</xdr:row>
      <xdr:rowOff>6096</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7381878" y="0"/>
          <a:ext cx="7245212" cy="5340096"/>
        </a:xfrm>
        <a:prstGeom prst="rect">
          <a:avLst/>
        </a:prstGeom>
        <a:ln w="31750">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2:F18"/>
  <sheetViews>
    <sheetView showGridLines="0" zoomScale="120" zoomScaleNormal="120" workbookViewId="0">
      <selection activeCell="G20" sqref="G20"/>
    </sheetView>
  </sheetViews>
  <sheetFormatPr defaultRowHeight="15" x14ac:dyDescent="0.25"/>
  <cols>
    <col min="2" max="2" width="10.5703125" customWidth="1"/>
    <col min="3" max="3" width="87" customWidth="1"/>
    <col min="4" max="4" width="9.5703125" bestFit="1" customWidth="1"/>
    <col min="5" max="5" width="12" bestFit="1" customWidth="1"/>
  </cols>
  <sheetData>
    <row r="2" spans="1:6" x14ac:dyDescent="0.25">
      <c r="B2" s="20" t="s">
        <v>147</v>
      </c>
      <c r="C2" s="20"/>
      <c r="D2" s="98">
        <v>2.4</v>
      </c>
      <c r="E2" s="123"/>
    </row>
    <row r="3" spans="1:6" x14ac:dyDescent="0.25">
      <c r="B3" s="20"/>
      <c r="C3" s="20" t="s">
        <v>124</v>
      </c>
      <c r="D3" s="20"/>
      <c r="E3" s="127">
        <v>43270</v>
      </c>
    </row>
    <row r="4" spans="1:6" x14ac:dyDescent="0.25">
      <c r="A4" s="62"/>
      <c r="B4" s="124"/>
      <c r="C4" s="125" t="s">
        <v>125</v>
      </c>
      <c r="D4" s="125"/>
      <c r="E4" s="127">
        <v>43293</v>
      </c>
      <c r="F4" s="62"/>
    </row>
    <row r="5" spans="1:6" x14ac:dyDescent="0.25">
      <c r="A5" s="62"/>
      <c r="B5" s="124"/>
      <c r="C5" s="126" t="s">
        <v>128</v>
      </c>
      <c r="D5" s="125"/>
      <c r="E5" s="127">
        <v>43293</v>
      </c>
      <c r="F5" s="62"/>
    </row>
    <row r="6" spans="1:6" x14ac:dyDescent="0.25">
      <c r="A6" s="62"/>
      <c r="B6" s="124"/>
      <c r="C6" s="125" t="s">
        <v>129</v>
      </c>
      <c r="D6" s="125"/>
      <c r="E6" s="127">
        <v>43293</v>
      </c>
      <c r="F6" s="62"/>
    </row>
    <row r="7" spans="1:6" x14ac:dyDescent="0.25">
      <c r="A7" s="62"/>
      <c r="B7" s="124"/>
      <c r="C7" s="125" t="s">
        <v>130</v>
      </c>
      <c r="D7" s="20"/>
      <c r="E7" s="127">
        <v>43311</v>
      </c>
      <c r="F7" s="62"/>
    </row>
    <row r="8" spans="1:6" x14ac:dyDescent="0.25">
      <c r="A8" s="62"/>
      <c r="B8" s="124"/>
      <c r="C8" s="125" t="s">
        <v>140</v>
      </c>
      <c r="D8" s="20"/>
      <c r="E8" s="127">
        <v>43369</v>
      </c>
      <c r="F8" s="62"/>
    </row>
    <row r="9" spans="1:6" x14ac:dyDescent="0.25">
      <c r="A9" s="62"/>
      <c r="B9" s="125"/>
      <c r="C9" s="125" t="s">
        <v>139</v>
      </c>
      <c r="D9" s="125"/>
      <c r="E9" s="127">
        <v>43369</v>
      </c>
      <c r="F9" s="62"/>
    </row>
    <row r="10" spans="1:6" ht="120" x14ac:dyDescent="0.25">
      <c r="A10" s="62"/>
      <c r="B10" s="125"/>
      <c r="C10" s="126" t="s">
        <v>172</v>
      </c>
      <c r="D10" s="125"/>
      <c r="E10" s="127">
        <v>44547</v>
      </c>
      <c r="F10" s="62"/>
    </row>
    <row r="11" spans="1:6" x14ac:dyDescent="0.25">
      <c r="A11" s="62"/>
      <c r="B11" s="125" t="s">
        <v>173</v>
      </c>
      <c r="C11" s="125"/>
      <c r="D11" s="125"/>
      <c r="E11" s="125"/>
      <c r="F11" s="62"/>
    </row>
    <row r="12" spans="1:6" x14ac:dyDescent="0.25">
      <c r="A12" s="62"/>
      <c r="B12" s="62"/>
      <c r="C12" s="62"/>
      <c r="D12" s="62"/>
      <c r="E12" s="62"/>
      <c r="F12" s="62"/>
    </row>
    <row r="13" spans="1:6" x14ac:dyDescent="0.25">
      <c r="A13" s="62"/>
      <c r="B13" s="62"/>
      <c r="C13" s="62"/>
      <c r="D13" s="62"/>
      <c r="E13" s="62"/>
      <c r="F13" s="62"/>
    </row>
    <row r="14" spans="1:6" x14ac:dyDescent="0.25">
      <c r="A14" s="62"/>
      <c r="B14" s="62"/>
      <c r="C14" s="62"/>
      <c r="D14" s="62"/>
      <c r="E14" s="62"/>
      <c r="F14" s="62"/>
    </row>
    <row r="15" spans="1:6" x14ac:dyDescent="0.25">
      <c r="A15" s="62"/>
      <c r="B15" s="62"/>
      <c r="C15" s="62"/>
      <c r="D15" s="62"/>
      <c r="E15" s="62"/>
      <c r="F15" s="62"/>
    </row>
    <row r="16" spans="1:6" x14ac:dyDescent="0.25">
      <c r="A16" s="62"/>
      <c r="B16" s="62"/>
      <c r="C16" s="62"/>
      <c r="D16" s="62"/>
      <c r="E16" s="62"/>
      <c r="F16" s="62"/>
    </row>
    <row r="17" spans="1:6" x14ac:dyDescent="0.25">
      <c r="A17" s="62"/>
      <c r="B17" s="62"/>
      <c r="C17" s="62"/>
      <c r="D17" s="62"/>
      <c r="E17" s="62"/>
      <c r="F17" s="62"/>
    </row>
    <row r="18" spans="1:6" x14ac:dyDescent="0.25">
      <c r="A18" s="62"/>
      <c r="B18" s="62"/>
      <c r="C18" s="62"/>
      <c r="D18" s="62"/>
      <c r="E18" s="62"/>
      <c r="F18" s="62"/>
    </row>
  </sheetData>
  <sheetProtection algorithmName="SHA-512" hashValue="PIZNghwda2ij279eccz1b7xDNgf/7CmAGW+Kaq4p4q8rU7gE+AOajEMZse6Xdf4UG1BA8a9RdBzTGoFOjW7SXA==" saltValue="pDdUnYq7Ir/01QlFsgTeVw==" spinCount="100000" sheet="1" objects="1" scenarios="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49"/>
  <sheetViews>
    <sheetView showGridLines="0" topLeftCell="A7" zoomScale="80" zoomScaleNormal="80" workbookViewId="0">
      <selection activeCell="D25" sqref="D25"/>
    </sheetView>
  </sheetViews>
  <sheetFormatPr defaultRowHeight="15" x14ac:dyDescent="0.25"/>
  <cols>
    <col min="1" max="1" width="13.7109375" style="1" customWidth="1"/>
    <col min="2" max="2" width="46.28515625" customWidth="1"/>
    <col min="3" max="3" width="14.5703125" customWidth="1"/>
    <col min="4" max="4" width="9.85546875" customWidth="1"/>
    <col min="5" max="5" width="10.5703125" customWidth="1"/>
    <col min="7" max="7" width="9.7109375" customWidth="1"/>
    <col min="10" max="10" width="9.7109375" customWidth="1"/>
    <col min="11" max="11" width="40.42578125" customWidth="1"/>
    <col min="12" max="12" width="13.7109375" customWidth="1"/>
    <col min="14" max="14" width="10" bestFit="1" customWidth="1"/>
  </cols>
  <sheetData>
    <row r="1" spans="1:10" ht="49.15" customHeight="1" x14ac:dyDescent="0.25">
      <c r="B1" s="108" t="s">
        <v>122</v>
      </c>
      <c r="G1" s="51">
        <f>Information!D2</f>
        <v>2.4</v>
      </c>
    </row>
    <row r="2" spans="1:10" x14ac:dyDescent="0.25">
      <c r="B2" t="s">
        <v>80</v>
      </c>
    </row>
    <row r="4" spans="1:10" x14ac:dyDescent="0.25">
      <c r="B4" s="50" t="s">
        <v>126</v>
      </c>
    </row>
    <row r="5" spans="1:10" ht="15.75" thickBot="1" x14ac:dyDescent="0.3"/>
    <row r="6" spans="1:10" ht="17.25" x14ac:dyDescent="0.25">
      <c r="A6" s="130" t="s">
        <v>83</v>
      </c>
      <c r="B6" s="12" t="s">
        <v>0</v>
      </c>
      <c r="C6" s="12" t="s">
        <v>1</v>
      </c>
      <c r="D6" s="11">
        <v>1268.75</v>
      </c>
      <c r="E6" s="13" t="s">
        <v>10</v>
      </c>
    </row>
    <row r="7" spans="1:10" x14ac:dyDescent="0.25">
      <c r="A7" s="131"/>
      <c r="B7" s="14" t="s">
        <v>55</v>
      </c>
      <c r="C7" s="14" t="s">
        <v>57</v>
      </c>
      <c r="D7" s="8">
        <v>0</v>
      </c>
      <c r="E7" s="15" t="s">
        <v>56</v>
      </c>
    </row>
    <row r="8" spans="1:10" ht="15.75" thickBot="1" x14ac:dyDescent="0.3">
      <c r="A8" s="131"/>
      <c r="B8" s="14" t="s">
        <v>68</v>
      </c>
      <c r="C8" s="14"/>
      <c r="D8" s="8" t="s">
        <v>63</v>
      </c>
      <c r="E8" s="15"/>
    </row>
    <row r="9" spans="1:10" ht="18.75" customHeight="1" thickBot="1" x14ac:dyDescent="0.4">
      <c r="A9" s="132"/>
      <c r="B9" s="16" t="s">
        <v>134</v>
      </c>
      <c r="C9" s="16" t="s">
        <v>50</v>
      </c>
      <c r="D9" s="10">
        <v>2800</v>
      </c>
      <c r="E9" s="17" t="s">
        <v>51</v>
      </c>
      <c r="G9" s="139" t="s">
        <v>142</v>
      </c>
      <c r="H9" s="164"/>
      <c r="I9" s="164"/>
      <c r="J9" s="165"/>
    </row>
    <row r="10" spans="1:10" ht="14.25" customHeight="1" x14ac:dyDescent="0.25">
      <c r="G10" s="140"/>
      <c r="H10" s="166"/>
      <c r="I10" s="166"/>
      <c r="J10" s="167"/>
    </row>
    <row r="11" spans="1:10" ht="15.75" thickBot="1" x14ac:dyDescent="0.3">
      <c r="G11" s="141"/>
      <c r="H11" s="168"/>
      <c r="I11" s="168"/>
      <c r="J11" s="169"/>
    </row>
    <row r="12" spans="1:10" ht="15.75" thickBot="1" x14ac:dyDescent="0.3"/>
    <row r="13" spans="1:10" ht="16.149999999999999" customHeight="1" x14ac:dyDescent="0.25">
      <c r="A13" s="130" t="s">
        <v>84</v>
      </c>
      <c r="B13" s="18" t="s">
        <v>0</v>
      </c>
      <c r="C13" s="18" t="s">
        <v>1</v>
      </c>
      <c r="D13" s="18">
        <f>D6</f>
        <v>1268.75</v>
      </c>
      <c r="E13" s="19" t="s">
        <v>10</v>
      </c>
    </row>
    <row r="14" spans="1:10" ht="16.149999999999999" customHeight="1" x14ac:dyDescent="0.25">
      <c r="A14" s="131"/>
      <c r="B14" s="20" t="s">
        <v>55</v>
      </c>
      <c r="C14" s="20" t="s">
        <v>57</v>
      </c>
      <c r="D14" s="20">
        <f>D7</f>
        <v>0</v>
      </c>
      <c r="E14" s="21" t="s">
        <v>56</v>
      </c>
    </row>
    <row r="15" spans="1:10" x14ac:dyDescent="0.25">
      <c r="A15" s="131"/>
      <c r="B15" s="20" t="s">
        <v>2</v>
      </c>
      <c r="C15" s="20" t="s">
        <v>3</v>
      </c>
      <c r="D15" s="20">
        <f>VLOOKUP(D14,ACF!A2:B15,2,FALSE)</f>
        <v>1</v>
      </c>
      <c r="E15" s="21"/>
    </row>
    <row r="16" spans="1:10" ht="18.75" thickBot="1" x14ac:dyDescent="0.4">
      <c r="A16" s="132"/>
      <c r="B16" s="22" t="s">
        <v>81</v>
      </c>
      <c r="C16" s="22" t="s">
        <v>77</v>
      </c>
      <c r="D16" s="22">
        <v>70</v>
      </c>
      <c r="E16" s="23" t="s">
        <v>60</v>
      </c>
    </row>
    <row r="17" spans="1:14" ht="15.75" thickBot="1" x14ac:dyDescent="0.3"/>
    <row r="18" spans="1:14" ht="18" x14ac:dyDescent="0.35">
      <c r="A18" s="133" t="s">
        <v>85</v>
      </c>
      <c r="B18" s="44" t="s">
        <v>20</v>
      </c>
      <c r="C18" s="44" t="s">
        <v>21</v>
      </c>
      <c r="D18" s="44">
        <v>3</v>
      </c>
      <c r="E18" s="45" t="s">
        <v>22</v>
      </c>
    </row>
    <row r="19" spans="1:14" ht="18" hidden="1" x14ac:dyDescent="0.35">
      <c r="A19" s="134"/>
      <c r="B19" s="33" t="s">
        <v>8</v>
      </c>
      <c r="C19" s="33" t="s">
        <v>9</v>
      </c>
      <c r="D19" s="33">
        <v>0.93</v>
      </c>
      <c r="E19" s="35"/>
    </row>
    <row r="20" spans="1:14" ht="18" x14ac:dyDescent="0.35">
      <c r="A20" s="134"/>
      <c r="B20" s="33" t="s">
        <v>33</v>
      </c>
      <c r="C20" s="33" t="s">
        <v>23</v>
      </c>
      <c r="D20" s="33">
        <v>230</v>
      </c>
      <c r="E20" s="35" t="s">
        <v>24</v>
      </c>
    </row>
    <row r="21" spans="1:14" ht="18" x14ac:dyDescent="0.35">
      <c r="A21" s="134"/>
      <c r="B21" s="33" t="s">
        <v>34</v>
      </c>
      <c r="C21" s="33" t="s">
        <v>35</v>
      </c>
      <c r="D21" s="33">
        <v>0.26</v>
      </c>
      <c r="E21" s="35" t="s">
        <v>36</v>
      </c>
    </row>
    <row r="22" spans="1:14" hidden="1" x14ac:dyDescent="0.25">
      <c r="A22" s="134"/>
      <c r="B22" s="33" t="s">
        <v>11</v>
      </c>
      <c r="C22" s="33" t="s">
        <v>12</v>
      </c>
      <c r="D22" s="33">
        <v>0.33200000000000002</v>
      </c>
      <c r="E22" s="35"/>
    </row>
    <row r="23" spans="1:14" ht="18.75" thickBot="1" x14ac:dyDescent="0.4">
      <c r="A23" s="135"/>
      <c r="B23" s="46" t="s">
        <v>72</v>
      </c>
      <c r="C23" s="46" t="s">
        <v>73</v>
      </c>
      <c r="D23" s="47">
        <f>LN(1/(1-D22))*D19</f>
        <v>0.37522440806430707</v>
      </c>
      <c r="E23" s="48"/>
    </row>
    <row r="24" spans="1:14" ht="15.75" thickBot="1" x14ac:dyDescent="0.3">
      <c r="D24" s="24"/>
    </row>
    <row r="25" spans="1:14" ht="18" x14ac:dyDescent="0.35">
      <c r="A25" s="136" t="s">
        <v>86</v>
      </c>
      <c r="B25" s="38" t="s">
        <v>46</v>
      </c>
      <c r="C25" s="38" t="s">
        <v>45</v>
      </c>
      <c r="D25" s="38">
        <v>1.2</v>
      </c>
      <c r="E25" s="39"/>
    </row>
    <row r="26" spans="1:14" x14ac:dyDescent="0.25">
      <c r="A26" s="137"/>
      <c r="B26" s="40" t="s">
        <v>68</v>
      </c>
      <c r="C26" s="40"/>
      <c r="D26" s="40" t="str">
        <f>D8</f>
        <v>80L</v>
      </c>
      <c r="E26" s="41"/>
    </row>
    <row r="27" spans="1:14" ht="18" x14ac:dyDescent="0.35">
      <c r="A27" s="137"/>
      <c r="B27" s="40" t="s">
        <v>134</v>
      </c>
      <c r="C27" s="40" t="s">
        <v>50</v>
      </c>
      <c r="D27" s="40">
        <f>D9</f>
        <v>2800</v>
      </c>
      <c r="E27" s="41" t="s">
        <v>51</v>
      </c>
    </row>
    <row r="28" spans="1:14" ht="18.75" thickBot="1" x14ac:dyDescent="0.4">
      <c r="A28" s="137"/>
      <c r="B28" s="40" t="s">
        <v>143</v>
      </c>
      <c r="C28" s="40" t="s">
        <v>145</v>
      </c>
      <c r="D28" s="40">
        <f>IF(D26="80L",VLOOKUP(D27,'Cylinder Characteristic'!A3:E16,2,FALSE),VLOOKUP(D27,'Cylinder Characteristic'!A3:E16,4,FALSE))</f>
        <v>468</v>
      </c>
      <c r="E28" s="41" t="s">
        <v>30</v>
      </c>
      <c r="J28" s="142" t="s">
        <v>99</v>
      </c>
      <c r="K28" s="142"/>
      <c r="L28" s="142"/>
      <c r="M28" s="142"/>
      <c r="N28" s="142"/>
    </row>
    <row r="29" spans="1:14" ht="18" x14ac:dyDescent="0.35">
      <c r="A29" s="137"/>
      <c r="B29" s="40" t="s">
        <v>144</v>
      </c>
      <c r="C29" s="40" t="s">
        <v>13</v>
      </c>
      <c r="D29" s="40">
        <f>IF(D26="80L",VLOOKUP(D27,'Cylinder Characteristic'!A3:E16,3,FALSE),VLOOKUP(D27,'Cylinder Characteristic'!A3:E16,5,FALSE))</f>
        <v>519</v>
      </c>
      <c r="E29" s="41" t="s">
        <v>30</v>
      </c>
      <c r="J29" s="87"/>
      <c r="K29" s="26"/>
      <c r="L29" s="26"/>
      <c r="M29" s="26"/>
      <c r="N29" s="92"/>
    </row>
    <row r="30" spans="1:14" ht="19.149999999999999" customHeight="1" x14ac:dyDescent="0.35">
      <c r="A30" s="137"/>
      <c r="B30" s="40" t="s">
        <v>53</v>
      </c>
      <c r="C30" s="40" t="s">
        <v>54</v>
      </c>
      <c r="D30" s="40">
        <v>250</v>
      </c>
      <c r="E30" s="41" t="s">
        <v>51</v>
      </c>
      <c r="J30" s="88"/>
      <c r="N30" s="93"/>
    </row>
    <row r="31" spans="1:14" ht="18.75" thickBot="1" x14ac:dyDescent="0.4">
      <c r="A31" s="138"/>
      <c r="B31" s="42" t="s">
        <v>43</v>
      </c>
      <c r="C31" s="42" t="s">
        <v>44</v>
      </c>
      <c r="D31" s="42">
        <v>1.2</v>
      </c>
      <c r="E31" s="43"/>
      <c r="J31" s="88"/>
      <c r="N31" s="93"/>
    </row>
    <row r="32" spans="1:14" x14ac:dyDescent="0.25">
      <c r="A32" s="25"/>
      <c r="B32" s="26"/>
      <c r="C32" s="26"/>
      <c r="D32" s="26"/>
      <c r="E32" s="26"/>
      <c r="J32" s="88"/>
      <c r="K32" s="89" t="s">
        <v>113</v>
      </c>
      <c r="L32" s="89"/>
      <c r="M32" s="89"/>
      <c r="N32" s="93"/>
    </row>
    <row r="33" spans="1:14" ht="18" hidden="1" x14ac:dyDescent="0.35">
      <c r="B33" s="27" t="s">
        <v>105</v>
      </c>
      <c r="C33" s="27" t="s">
        <v>5</v>
      </c>
      <c r="D33" s="27">
        <f>(D16-32)/1.8</f>
        <v>21.111111111111111</v>
      </c>
      <c r="E33" s="27" t="s">
        <v>60</v>
      </c>
      <c r="J33" s="88"/>
      <c r="N33" s="93"/>
    </row>
    <row r="34" spans="1:14" ht="15.75" thickBot="1" x14ac:dyDescent="0.3">
      <c r="A34" s="143" t="s">
        <v>100</v>
      </c>
      <c r="B34" s="143"/>
      <c r="C34" s="143"/>
      <c r="D34" s="143"/>
      <c r="E34" s="143"/>
      <c r="J34" s="90"/>
      <c r="N34" s="93"/>
    </row>
    <row r="35" spans="1:14" ht="18" x14ac:dyDescent="0.35">
      <c r="A35" s="158" t="s">
        <v>47</v>
      </c>
      <c r="B35" s="28" t="s">
        <v>14</v>
      </c>
      <c r="C35" s="18" t="s">
        <v>15</v>
      </c>
      <c r="D35" s="29">
        <f>D23*(294.4/(273+D33))*D13*D15*D25</f>
        <v>571.84029683488609</v>
      </c>
      <c r="E35" s="19" t="s">
        <v>30</v>
      </c>
      <c r="J35" s="139" t="s">
        <v>98</v>
      </c>
      <c r="K35" s="77" t="s">
        <v>16</v>
      </c>
      <c r="L35" s="78" t="s">
        <v>17</v>
      </c>
      <c r="M35" s="79">
        <v>43</v>
      </c>
      <c r="N35" s="80" t="s">
        <v>29</v>
      </c>
    </row>
    <row r="36" spans="1:14" ht="15.75" thickBot="1" x14ac:dyDescent="0.3">
      <c r="A36" s="159"/>
      <c r="B36" s="30"/>
      <c r="C36" s="20"/>
      <c r="D36" s="31"/>
      <c r="E36" s="21"/>
      <c r="J36" s="140"/>
      <c r="K36" s="81" t="s">
        <v>68</v>
      </c>
      <c r="L36" s="82"/>
      <c r="M36" s="83" t="s">
        <v>63</v>
      </c>
      <c r="N36" s="84"/>
    </row>
    <row r="37" spans="1:14" ht="18" x14ac:dyDescent="0.35">
      <c r="A37" s="159"/>
      <c r="B37" s="66" t="s">
        <v>16</v>
      </c>
      <c r="C37" s="67" t="s">
        <v>17</v>
      </c>
      <c r="D37" s="67">
        <f>ROUNDUP(D35/D28,0)</f>
        <v>2</v>
      </c>
      <c r="E37" s="95" t="s">
        <v>29</v>
      </c>
      <c r="F37" s="147" t="s">
        <v>87</v>
      </c>
      <c r="G37" s="148"/>
      <c r="H37" s="149"/>
      <c r="J37" s="140"/>
      <c r="K37" s="81" t="s">
        <v>134</v>
      </c>
      <c r="L37" s="82" t="s">
        <v>50</v>
      </c>
      <c r="M37" s="83">
        <v>2800</v>
      </c>
      <c r="N37" s="84" t="s">
        <v>51</v>
      </c>
    </row>
    <row r="38" spans="1:14" ht="15.75" thickBot="1" x14ac:dyDescent="0.3">
      <c r="A38" s="159"/>
      <c r="B38" s="66" t="s">
        <v>68</v>
      </c>
      <c r="C38" s="67"/>
      <c r="D38" s="67" t="str">
        <f>D26</f>
        <v>80L</v>
      </c>
      <c r="E38" s="95"/>
      <c r="F38" s="150"/>
      <c r="G38" s="151"/>
      <c r="H38" s="152"/>
      <c r="J38" s="140"/>
      <c r="K38" s="30"/>
      <c r="L38" s="20"/>
      <c r="M38" s="20"/>
      <c r="N38" s="21"/>
    </row>
    <row r="39" spans="1:14" ht="18" x14ac:dyDescent="0.35">
      <c r="A39" s="159"/>
      <c r="B39" s="30" t="s">
        <v>19</v>
      </c>
      <c r="C39" s="20" t="s">
        <v>18</v>
      </c>
      <c r="D39" s="31">
        <f>D35/D18</f>
        <v>190.61343227829536</v>
      </c>
      <c r="E39" s="21" t="s">
        <v>24</v>
      </c>
      <c r="J39" s="140"/>
      <c r="K39" s="30" t="s">
        <v>143</v>
      </c>
      <c r="L39" s="20" t="s">
        <v>145</v>
      </c>
      <c r="M39" s="20">
        <f>IF(M36="80L",VLOOKUP(M37,'Cylinder Characteristic'!A3:E16,2,FALSE),VLOOKUP(M37,'Cylinder Characteristic'!A3:E16,4,FALSE))</f>
        <v>468</v>
      </c>
      <c r="N39" s="21" t="s">
        <v>30</v>
      </c>
    </row>
    <row r="40" spans="1:14" ht="18.75" thickBot="1" x14ac:dyDescent="0.4">
      <c r="A40" s="159"/>
      <c r="B40" s="30"/>
      <c r="C40" s="20"/>
      <c r="D40" s="31"/>
      <c r="E40" s="21"/>
      <c r="J40" s="140"/>
      <c r="K40" s="30" t="s">
        <v>144</v>
      </c>
      <c r="L40" s="20" t="s">
        <v>13</v>
      </c>
      <c r="M40" s="20">
        <f>IF(M36="80L",VLOOKUP(M37,'Cylinder Characteristic'!A3:E16,3,FALSE),VLOOKUP(M37,'Cylinder Characteristic'!A3:E16,5,FALSE))</f>
        <v>519</v>
      </c>
      <c r="N40" s="21" t="s">
        <v>30</v>
      </c>
    </row>
    <row r="41" spans="1:14" ht="18" x14ac:dyDescent="0.35">
      <c r="A41" s="159"/>
      <c r="B41" s="66" t="s">
        <v>25</v>
      </c>
      <c r="C41" s="67" t="s">
        <v>26</v>
      </c>
      <c r="D41" s="67">
        <f>ROUNDUP(D39/D20,0)</f>
        <v>1</v>
      </c>
      <c r="E41" s="95" t="s">
        <v>28</v>
      </c>
      <c r="F41" s="147" t="s">
        <v>88</v>
      </c>
      <c r="G41" s="148"/>
      <c r="H41" s="149"/>
      <c r="J41" s="140"/>
      <c r="K41" s="30"/>
      <c r="L41" s="20"/>
      <c r="M41" s="20"/>
      <c r="N41" s="21"/>
    </row>
    <row r="42" spans="1:14" ht="18" x14ac:dyDescent="0.35">
      <c r="A42" s="159"/>
      <c r="B42" s="66" t="s">
        <v>89</v>
      </c>
      <c r="C42" s="67"/>
      <c r="D42" s="153" t="s">
        <v>90</v>
      </c>
      <c r="E42" s="154"/>
      <c r="F42" s="155"/>
      <c r="G42" s="156"/>
      <c r="H42" s="157"/>
      <c r="J42" s="140"/>
      <c r="K42" s="81" t="s">
        <v>25</v>
      </c>
      <c r="L42" s="82" t="s">
        <v>26</v>
      </c>
      <c r="M42" s="83">
        <v>29</v>
      </c>
      <c r="N42" s="84" t="s">
        <v>28</v>
      </c>
    </row>
    <row r="43" spans="1:14" ht="15.75" thickBot="1" x14ac:dyDescent="0.3">
      <c r="A43" s="159"/>
      <c r="B43" s="66" t="s">
        <v>91</v>
      </c>
      <c r="C43" s="67"/>
      <c r="D43" s="67">
        <f>D21</f>
        <v>0.26</v>
      </c>
      <c r="E43" s="95" t="str">
        <f>E21</f>
        <v>gpm</v>
      </c>
      <c r="F43" s="150"/>
      <c r="G43" s="151"/>
      <c r="H43" s="152"/>
      <c r="J43" s="140"/>
      <c r="K43" s="30" t="s">
        <v>89</v>
      </c>
      <c r="L43" s="20"/>
      <c r="M43" s="98" t="s">
        <v>90</v>
      </c>
      <c r="N43" s="99"/>
    </row>
    <row r="44" spans="1:14" ht="15.75" thickBot="1" x14ac:dyDescent="0.3">
      <c r="A44" s="159"/>
      <c r="B44" s="30"/>
      <c r="C44" s="20"/>
      <c r="D44" s="20"/>
      <c r="E44" s="21"/>
      <c r="J44" s="140"/>
      <c r="K44" s="30" t="s">
        <v>91</v>
      </c>
      <c r="L44" s="20"/>
      <c r="M44" s="20">
        <f>D43</f>
        <v>0.26</v>
      </c>
      <c r="N44" s="21" t="s">
        <v>36</v>
      </c>
    </row>
    <row r="45" spans="1:14" ht="18" x14ac:dyDescent="0.35">
      <c r="A45" s="159"/>
      <c r="B45" s="32" t="s">
        <v>74</v>
      </c>
      <c r="C45" s="33" t="s">
        <v>27</v>
      </c>
      <c r="D45" s="34">
        <f>(D37*D28)/(D41*D20)</f>
        <v>4.0695652173913039</v>
      </c>
      <c r="E45" s="49" t="s">
        <v>22</v>
      </c>
      <c r="F45" s="147" t="s">
        <v>92</v>
      </c>
      <c r="G45" s="148"/>
      <c r="H45" s="149"/>
      <c r="J45" s="140"/>
      <c r="K45" s="30"/>
      <c r="L45" s="20"/>
      <c r="M45" s="20"/>
      <c r="N45" s="21"/>
    </row>
    <row r="46" spans="1:14" ht="18.75" thickBot="1" x14ac:dyDescent="0.4">
      <c r="A46" s="159"/>
      <c r="B46" s="32" t="s">
        <v>106</v>
      </c>
      <c r="C46" s="33" t="s">
        <v>104</v>
      </c>
      <c r="D46" s="34">
        <f>20.95*EXP(-(D37*D29*(273+D33))/(D13*D15*294.4))</f>
        <v>9.2517560840470026</v>
      </c>
      <c r="E46" s="49" t="s">
        <v>31</v>
      </c>
      <c r="F46" s="150"/>
      <c r="G46" s="151"/>
      <c r="H46" s="152"/>
      <c r="J46" s="140"/>
      <c r="K46" s="30" t="s">
        <v>74</v>
      </c>
      <c r="L46" s="20" t="s">
        <v>27</v>
      </c>
      <c r="M46" s="31">
        <f>(M35*M39)/(M42*D20)</f>
        <v>3.0170914542728635</v>
      </c>
      <c r="N46" s="21" t="s">
        <v>22</v>
      </c>
    </row>
    <row r="47" spans="1:14" ht="18.75" thickBot="1" x14ac:dyDescent="0.4">
      <c r="A47" s="159"/>
      <c r="B47" s="161" t="str">
        <f>IF(D46&lt;12,"Estimated final O2 level low, consider adjusting cylinder nominal pressure/ size","")</f>
        <v>Estimated final O2 level low, consider adjusting cylinder nominal pressure/ size</v>
      </c>
      <c r="C47" s="162"/>
      <c r="D47" s="162"/>
      <c r="E47" s="163"/>
      <c r="F47" s="51"/>
      <c r="G47" s="51"/>
      <c r="H47" s="51"/>
      <c r="J47" s="140"/>
      <c r="K47" s="30" t="s">
        <v>101</v>
      </c>
      <c r="L47" s="20" t="s">
        <v>104</v>
      </c>
      <c r="M47" s="31">
        <f>20.95*EXP(-(M35*M40*(273+D33))/(D13*D15*294.4))</f>
        <v>4.8926842518955056E-7</v>
      </c>
      <c r="N47" s="21" t="s">
        <v>31</v>
      </c>
    </row>
    <row r="48" spans="1:14" ht="18.75" thickBot="1" x14ac:dyDescent="0.4">
      <c r="A48" s="159"/>
      <c r="B48" s="66" t="s">
        <v>41</v>
      </c>
      <c r="C48" s="67" t="s">
        <v>37</v>
      </c>
      <c r="D48" s="96">
        <f>D21*D41*D45*D31</f>
        <v>1.2697043478260868</v>
      </c>
      <c r="E48" s="95" t="s">
        <v>38</v>
      </c>
      <c r="F48" s="144" t="s">
        <v>82</v>
      </c>
      <c r="G48" s="145"/>
      <c r="H48" s="146"/>
      <c r="J48" s="140"/>
      <c r="K48" s="30"/>
      <c r="L48" s="20"/>
      <c r="M48" s="115"/>
      <c r="N48" s="21"/>
    </row>
    <row r="49" spans="1:14" ht="18.75" thickBot="1" x14ac:dyDescent="0.4">
      <c r="A49" s="160"/>
      <c r="B49" s="36"/>
      <c r="C49" s="22"/>
      <c r="D49" s="37"/>
      <c r="E49" s="23"/>
      <c r="J49" s="141"/>
      <c r="K49" s="36" t="s">
        <v>41</v>
      </c>
      <c r="L49" s="22" t="s">
        <v>37</v>
      </c>
      <c r="M49" s="37">
        <f>M44*M42*M46*D31</f>
        <v>27.298643478260868</v>
      </c>
      <c r="N49" s="23" t="s">
        <v>38</v>
      </c>
    </row>
  </sheetData>
  <sheetProtection algorithmName="SHA-512" hashValue="NUev+xz6Ehwvn5o1kyk1enarrlyquMV4nHQ0NIqEIkFe+/wRd2reASFW1Z2ZIJD7aA+LyUh9oG+PnKmx59TUHA==" saltValue="PNIOVcd9itYD3dSpTKDJ7g==" spinCount="100000" sheet="1" objects="1" scenarios="1"/>
  <mergeCells count="15">
    <mergeCell ref="A6:A9"/>
    <mergeCell ref="A13:A16"/>
    <mergeCell ref="A18:A23"/>
    <mergeCell ref="A25:A31"/>
    <mergeCell ref="J35:J49"/>
    <mergeCell ref="J28:N28"/>
    <mergeCell ref="A34:E34"/>
    <mergeCell ref="F48:H48"/>
    <mergeCell ref="F37:H38"/>
    <mergeCell ref="D42:E42"/>
    <mergeCell ref="F41:H43"/>
    <mergeCell ref="F45:H46"/>
    <mergeCell ref="A35:A49"/>
    <mergeCell ref="B47:E47"/>
    <mergeCell ref="G9:J11"/>
  </mergeCells>
  <pageMargins left="0.7" right="0.7" top="0.75" bottom="0.75" header="0.3" footer="0.3"/>
  <pageSetup orientation="portrait" verticalDpi="1200" r:id="rId1"/>
  <drawing r:id="rId2"/>
  <extLst>
    <ext xmlns:x14="http://schemas.microsoft.com/office/spreadsheetml/2009/9/main" uri="{CCE6A557-97BC-4b89-ADB6-D9C93CAAB3DF}">
      <x14:dataValidations xmlns:xm="http://schemas.microsoft.com/office/excel/2006/main" count="5">
        <x14:dataValidation type="list" allowBlank="1" showInputMessage="1" xr:uid="{00000000-0002-0000-0100-000000000000}">
          <x14:formula1>
            <xm:f>'Cylinder Characteristic'!$F$5:$F$6</xm:f>
          </x14:formula1>
          <xm:sqref>M36</xm:sqref>
        </x14:dataValidation>
        <x14:dataValidation type="list" allowBlank="1" showInputMessage="1" xr:uid="{00000000-0002-0000-0100-000001000000}">
          <x14:formula1>
            <xm:f>'Cylinder Characteristic'!$A$3:$A$13</xm:f>
          </x14:formula1>
          <xm:sqref>M37</xm:sqref>
        </x14:dataValidation>
        <x14:dataValidation type="list" allowBlank="1" showInputMessage="1" showErrorMessage="1" xr:uid="{00000000-0002-0000-0100-000002000000}">
          <x14:formula1>
            <xm:f>'Cylinder Characteristic'!$F$5:$F$6</xm:f>
          </x14:formula1>
          <xm:sqref>D8</xm:sqref>
        </x14:dataValidation>
        <x14:dataValidation type="list" allowBlank="1" showInputMessage="1" showErrorMessage="1" xr:uid="{00000000-0002-0000-0100-000003000000}">
          <x14:formula1>
            <xm:f>'Cylinder Characteristic'!$A$3:$A$16</xm:f>
          </x14:formula1>
          <xm:sqref>D9</xm:sqref>
        </x14:dataValidation>
        <x14:dataValidation type="list" allowBlank="1" showInputMessage="1" showErrorMessage="1" xr:uid="{00000000-0002-0000-0100-000004000000}">
          <x14:formula1>
            <xm:f>ACF!$A$2:$A$15</xm:f>
          </x14:formula1>
          <xm:sqref>D7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50"/>
  <sheetViews>
    <sheetView showGridLines="0" topLeftCell="B10" zoomScale="85" zoomScaleNormal="85" workbookViewId="0">
      <selection activeCell="D23" sqref="D23"/>
    </sheetView>
  </sheetViews>
  <sheetFormatPr defaultRowHeight="15" x14ac:dyDescent="0.25"/>
  <cols>
    <col min="1" max="1" width="13.7109375" style="1" customWidth="1"/>
    <col min="2" max="2" width="42.42578125" customWidth="1"/>
    <col min="3" max="3" width="14.5703125" customWidth="1"/>
    <col min="4" max="4" width="11.7109375" customWidth="1"/>
    <col min="7" max="7" width="9.7109375" customWidth="1"/>
    <col min="9" max="9" width="8.42578125" customWidth="1"/>
    <col min="10" max="10" width="9.5703125" customWidth="1"/>
    <col min="11" max="11" width="34.5703125" customWidth="1"/>
    <col min="12" max="12" width="11.85546875" customWidth="1"/>
    <col min="13" max="13" width="10.85546875" customWidth="1"/>
    <col min="14" max="14" width="14.42578125" customWidth="1"/>
  </cols>
  <sheetData>
    <row r="1" spans="1:10" ht="44.45" customHeight="1" x14ac:dyDescent="0.25">
      <c r="B1" s="108" t="s">
        <v>174</v>
      </c>
      <c r="H1" s="51">
        <f>Information!D2</f>
        <v>2.4</v>
      </c>
    </row>
    <row r="2" spans="1:10" x14ac:dyDescent="0.25">
      <c r="B2" t="s">
        <v>80</v>
      </c>
    </row>
    <row r="4" spans="1:10" x14ac:dyDescent="0.25">
      <c r="B4" s="50" t="s">
        <v>126</v>
      </c>
    </row>
    <row r="5" spans="1:10" ht="15.75" thickBot="1" x14ac:dyDescent="0.3"/>
    <row r="6" spans="1:10" ht="17.25" x14ac:dyDescent="0.25">
      <c r="A6" s="172" t="s">
        <v>83</v>
      </c>
      <c r="B6" s="12" t="s">
        <v>0</v>
      </c>
      <c r="C6" s="12" t="s">
        <v>1</v>
      </c>
      <c r="D6" s="11">
        <v>23393</v>
      </c>
      <c r="E6" s="13" t="s">
        <v>10</v>
      </c>
    </row>
    <row r="7" spans="1:10" ht="15.75" thickBot="1" x14ac:dyDescent="0.3">
      <c r="A7" s="173"/>
      <c r="B7" s="14" t="s">
        <v>55</v>
      </c>
      <c r="C7" s="14" t="s">
        <v>57</v>
      </c>
      <c r="D7" s="8">
        <v>0</v>
      </c>
      <c r="E7" s="15" t="s">
        <v>56</v>
      </c>
    </row>
    <row r="8" spans="1:10" ht="15" customHeight="1" x14ac:dyDescent="0.25">
      <c r="A8" s="173"/>
      <c r="B8" s="14" t="s">
        <v>68</v>
      </c>
      <c r="C8" s="14"/>
      <c r="D8" s="8" t="s">
        <v>63</v>
      </c>
      <c r="E8" s="15"/>
      <c r="G8" s="139" t="s">
        <v>142</v>
      </c>
      <c r="H8" s="164"/>
      <c r="I8" s="164"/>
      <c r="J8" s="165"/>
    </row>
    <row r="9" spans="1:10" ht="18.75" customHeight="1" thickBot="1" x14ac:dyDescent="0.4">
      <c r="A9" s="174"/>
      <c r="B9" s="16" t="s">
        <v>134</v>
      </c>
      <c r="C9" s="16" t="s">
        <v>50</v>
      </c>
      <c r="D9" s="10">
        <v>2640</v>
      </c>
      <c r="E9" s="17" t="s">
        <v>51</v>
      </c>
      <c r="G9" s="140"/>
      <c r="H9" s="166"/>
      <c r="I9" s="166"/>
      <c r="J9" s="167"/>
    </row>
    <row r="10" spans="1:10" ht="15.75" thickBot="1" x14ac:dyDescent="0.3">
      <c r="G10" s="141"/>
      <c r="H10" s="168"/>
      <c r="I10" s="168"/>
      <c r="J10" s="169"/>
    </row>
    <row r="12" spans="1:10" ht="15.75" thickBot="1" x14ac:dyDescent="0.3"/>
    <row r="13" spans="1:10" ht="16.149999999999999" customHeight="1" x14ac:dyDescent="0.25">
      <c r="A13" s="130" t="s">
        <v>84</v>
      </c>
      <c r="B13" s="18" t="s">
        <v>0</v>
      </c>
      <c r="C13" s="18" t="s">
        <v>1</v>
      </c>
      <c r="D13" s="18">
        <f>D6</f>
        <v>23393</v>
      </c>
      <c r="E13" s="19" t="s">
        <v>10</v>
      </c>
    </row>
    <row r="14" spans="1:10" ht="16.149999999999999" customHeight="1" x14ac:dyDescent="0.25">
      <c r="A14" s="131"/>
      <c r="B14" s="20" t="s">
        <v>55</v>
      </c>
      <c r="C14" s="20" t="s">
        <v>57</v>
      </c>
      <c r="D14" s="20">
        <f>D7</f>
        <v>0</v>
      </c>
      <c r="E14" s="21" t="s">
        <v>56</v>
      </c>
    </row>
    <row r="15" spans="1:10" x14ac:dyDescent="0.25">
      <c r="A15" s="131"/>
      <c r="B15" s="20" t="s">
        <v>2</v>
      </c>
      <c r="C15" s="20" t="s">
        <v>3</v>
      </c>
      <c r="D15" s="20">
        <f>VLOOKUP(D14,ACF!A2:B15,2,FALSE)</f>
        <v>1</v>
      </c>
      <c r="E15" s="21"/>
    </row>
    <row r="16" spans="1:10" ht="18.75" thickBot="1" x14ac:dyDescent="0.4">
      <c r="A16" s="132"/>
      <c r="B16" s="22" t="s">
        <v>81</v>
      </c>
      <c r="C16" s="22" t="s">
        <v>77</v>
      </c>
      <c r="D16" s="22">
        <v>70</v>
      </c>
      <c r="E16" s="23" t="s">
        <v>60</v>
      </c>
    </row>
    <row r="17" spans="1:14" ht="15.75" thickBot="1" x14ac:dyDescent="0.3"/>
    <row r="18" spans="1:14" ht="18" x14ac:dyDescent="0.35">
      <c r="A18" s="133" t="s">
        <v>85</v>
      </c>
      <c r="B18" s="44" t="s">
        <v>20</v>
      </c>
      <c r="C18" s="44" t="s">
        <v>21</v>
      </c>
      <c r="D18" s="44">
        <v>5</v>
      </c>
      <c r="E18" s="45" t="s">
        <v>22</v>
      </c>
    </row>
    <row r="19" spans="1:14" ht="18" hidden="1" x14ac:dyDescent="0.35">
      <c r="A19" s="134"/>
      <c r="B19" s="33" t="s">
        <v>8</v>
      </c>
      <c r="C19" s="33" t="s">
        <v>9</v>
      </c>
      <c r="D19" s="33">
        <v>0.75</v>
      </c>
      <c r="E19" s="35"/>
    </row>
    <row r="20" spans="1:14" ht="18" x14ac:dyDescent="0.35">
      <c r="A20" s="134"/>
      <c r="B20" s="33" t="s">
        <v>33</v>
      </c>
      <c r="C20" s="33" t="s">
        <v>23</v>
      </c>
      <c r="D20" s="33">
        <v>145</v>
      </c>
      <c r="E20" s="35" t="s">
        <v>24</v>
      </c>
    </row>
    <row r="21" spans="1:14" ht="18" x14ac:dyDescent="0.35">
      <c r="A21" s="134"/>
      <c r="B21" s="33" t="s">
        <v>34</v>
      </c>
      <c r="C21" s="33" t="s">
        <v>35</v>
      </c>
      <c r="D21" s="33">
        <v>1.06</v>
      </c>
      <c r="E21" s="35" t="s">
        <v>36</v>
      </c>
    </row>
    <row r="22" spans="1:14" hidden="1" x14ac:dyDescent="0.25">
      <c r="A22" s="134"/>
      <c r="B22" s="33" t="s">
        <v>11</v>
      </c>
      <c r="C22" s="33" t="s">
        <v>12</v>
      </c>
      <c r="D22" s="33">
        <v>0.33200000000000002</v>
      </c>
      <c r="E22" s="35"/>
    </row>
    <row r="23" spans="1:14" ht="18.75" thickBot="1" x14ac:dyDescent="0.4">
      <c r="A23" s="135"/>
      <c r="B23" s="46" t="s">
        <v>72</v>
      </c>
      <c r="C23" s="46" t="s">
        <v>73</v>
      </c>
      <c r="D23" s="47">
        <v>0.30199999999999999</v>
      </c>
      <c r="E23" s="48"/>
    </row>
    <row r="24" spans="1:14" ht="15.75" thickBot="1" x14ac:dyDescent="0.3">
      <c r="D24" s="24"/>
    </row>
    <row r="25" spans="1:14" ht="18" x14ac:dyDescent="0.35">
      <c r="A25" s="136" t="s">
        <v>86</v>
      </c>
      <c r="B25" s="38" t="s">
        <v>46</v>
      </c>
      <c r="C25" s="38" t="s">
        <v>45</v>
      </c>
      <c r="D25" s="38">
        <v>1.2</v>
      </c>
      <c r="E25" s="39"/>
    </row>
    <row r="26" spans="1:14" x14ac:dyDescent="0.25">
      <c r="A26" s="137"/>
      <c r="B26" s="40" t="s">
        <v>68</v>
      </c>
      <c r="C26" s="40"/>
      <c r="D26" s="40" t="str">
        <f>D8</f>
        <v>80L</v>
      </c>
      <c r="E26" s="41"/>
    </row>
    <row r="27" spans="1:14" ht="18.75" thickBot="1" x14ac:dyDescent="0.4">
      <c r="A27" s="137"/>
      <c r="B27" s="40" t="s">
        <v>134</v>
      </c>
      <c r="C27" s="40" t="s">
        <v>50</v>
      </c>
      <c r="D27" s="40">
        <f>D9</f>
        <v>2640</v>
      </c>
      <c r="E27" s="41" t="s">
        <v>51</v>
      </c>
      <c r="J27" s="143" t="s">
        <v>112</v>
      </c>
      <c r="K27" s="143"/>
      <c r="L27" s="143"/>
      <c r="M27" s="143"/>
      <c r="N27" s="143"/>
    </row>
    <row r="28" spans="1:14" ht="18" x14ac:dyDescent="0.35">
      <c r="A28" s="137"/>
      <c r="B28" s="40" t="s">
        <v>143</v>
      </c>
      <c r="C28" s="40" t="s">
        <v>145</v>
      </c>
      <c r="D28" s="40">
        <f>IF(D26="80L",VLOOKUP(D27,'Cylinder Characteristic'!A3:E16,2,FALSE),VLOOKUP(D27,'Cylinder Characteristic'!A3:E16,4,FALSE))</f>
        <v>439</v>
      </c>
      <c r="E28" s="41" t="s">
        <v>30</v>
      </c>
      <c r="J28" s="87"/>
      <c r="K28" s="26"/>
      <c r="L28" s="26"/>
      <c r="M28" s="26"/>
      <c r="N28" s="92"/>
    </row>
    <row r="29" spans="1:14" ht="18" x14ac:dyDescent="0.35">
      <c r="A29" s="137"/>
      <c r="B29" s="40" t="s">
        <v>144</v>
      </c>
      <c r="C29" s="40" t="s">
        <v>13</v>
      </c>
      <c r="D29" s="40">
        <f>IF(D26="80L",VLOOKUP(D27,'Cylinder Characteristic'!A3:E16,3,FALSE),VLOOKUP(D27,'Cylinder Characteristic'!A3:E16,5,FALSE))</f>
        <v>490</v>
      </c>
      <c r="E29" s="41" t="s">
        <v>30</v>
      </c>
      <c r="J29" s="88"/>
      <c r="N29" s="93"/>
    </row>
    <row r="30" spans="1:14" ht="18" x14ac:dyDescent="0.35">
      <c r="A30" s="137"/>
      <c r="B30" s="40" t="s">
        <v>53</v>
      </c>
      <c r="C30" s="40" t="s">
        <v>54</v>
      </c>
      <c r="D30" s="40">
        <v>250</v>
      </c>
      <c r="E30" s="41" t="s">
        <v>51</v>
      </c>
      <c r="J30" s="88"/>
      <c r="N30" s="93"/>
    </row>
    <row r="31" spans="1:14" ht="18.75" thickBot="1" x14ac:dyDescent="0.4">
      <c r="A31" s="138"/>
      <c r="B31" s="42" t="s">
        <v>43</v>
      </c>
      <c r="C31" s="42" t="s">
        <v>44</v>
      </c>
      <c r="D31" s="42">
        <v>1.2</v>
      </c>
      <c r="E31" s="43"/>
      <c r="J31" s="88"/>
      <c r="N31" s="93"/>
    </row>
    <row r="32" spans="1:14" x14ac:dyDescent="0.25">
      <c r="J32" s="88"/>
      <c r="N32" s="93"/>
    </row>
    <row r="33" spans="1:14" x14ac:dyDescent="0.25">
      <c r="J33" s="88"/>
      <c r="K33" s="89" t="s">
        <v>113</v>
      </c>
      <c r="L33" s="89"/>
      <c r="M33" s="89"/>
      <c r="N33" s="93"/>
    </row>
    <row r="34" spans="1:14" ht="18" hidden="1" x14ac:dyDescent="0.35">
      <c r="B34" s="27" t="s">
        <v>93</v>
      </c>
      <c r="C34" s="27" t="s">
        <v>77</v>
      </c>
      <c r="D34" s="27">
        <f>(D16-32)/1.8</f>
        <v>21.111111111111111</v>
      </c>
      <c r="E34" s="27" t="s">
        <v>60</v>
      </c>
      <c r="J34" s="88"/>
      <c r="N34" s="93"/>
    </row>
    <row r="35" spans="1:14" ht="15.75" thickBot="1" x14ac:dyDescent="0.3">
      <c r="A35" s="143" t="s">
        <v>111</v>
      </c>
      <c r="B35" s="143"/>
      <c r="C35" s="143"/>
      <c r="D35" s="143"/>
      <c r="E35" s="143"/>
      <c r="J35" s="90"/>
      <c r="K35" s="91"/>
      <c r="L35" s="91"/>
      <c r="M35" s="91"/>
      <c r="N35" s="94"/>
    </row>
    <row r="36" spans="1:14" ht="18" x14ac:dyDescent="0.35">
      <c r="A36" s="158" t="s">
        <v>47</v>
      </c>
      <c r="B36" s="28" t="s">
        <v>14</v>
      </c>
      <c r="C36" s="18" t="s">
        <v>15</v>
      </c>
      <c r="D36" s="29">
        <f>D13*(294.4/(273+D34))*D15*D23*D25</f>
        <v>8485.9502949452199</v>
      </c>
      <c r="E36" s="19" t="s">
        <v>30</v>
      </c>
      <c r="J36" s="139" t="s">
        <v>98</v>
      </c>
      <c r="K36" s="77" t="s">
        <v>16</v>
      </c>
      <c r="L36" s="78" t="s">
        <v>17</v>
      </c>
      <c r="M36" s="79">
        <v>18</v>
      </c>
      <c r="N36" s="80" t="s">
        <v>29</v>
      </c>
    </row>
    <row r="37" spans="1:14" ht="15.75" thickBot="1" x14ac:dyDescent="0.3">
      <c r="A37" s="159"/>
      <c r="B37" s="30"/>
      <c r="C37" s="20"/>
      <c r="D37" s="31"/>
      <c r="E37" s="21"/>
      <c r="J37" s="140"/>
      <c r="K37" s="81" t="s">
        <v>68</v>
      </c>
      <c r="L37" s="82"/>
      <c r="M37" s="83" t="s">
        <v>63</v>
      </c>
      <c r="N37" s="84"/>
    </row>
    <row r="38" spans="1:14" ht="18" x14ac:dyDescent="0.35">
      <c r="A38" s="159"/>
      <c r="B38" s="66" t="s">
        <v>16</v>
      </c>
      <c r="C38" s="67" t="s">
        <v>17</v>
      </c>
      <c r="D38" s="67">
        <f>ROUNDUP(D36/D28,0)</f>
        <v>20</v>
      </c>
      <c r="E38" s="95" t="s">
        <v>29</v>
      </c>
      <c r="F38" s="147" t="s">
        <v>87</v>
      </c>
      <c r="G38" s="148"/>
      <c r="H38" s="149"/>
      <c r="J38" s="140"/>
      <c r="K38" s="81" t="s">
        <v>134</v>
      </c>
      <c r="L38" s="82" t="s">
        <v>50</v>
      </c>
      <c r="M38" s="83">
        <v>2640</v>
      </c>
      <c r="N38" s="84" t="s">
        <v>51</v>
      </c>
    </row>
    <row r="39" spans="1:14" ht="15.75" thickBot="1" x14ac:dyDescent="0.3">
      <c r="A39" s="159"/>
      <c r="B39" s="66" t="s">
        <v>68</v>
      </c>
      <c r="C39" s="67"/>
      <c r="D39" s="67" t="str">
        <f>D26</f>
        <v>80L</v>
      </c>
      <c r="E39" s="95"/>
      <c r="F39" s="150"/>
      <c r="G39" s="151"/>
      <c r="H39" s="152"/>
      <c r="J39" s="140"/>
      <c r="K39" s="30"/>
      <c r="L39" s="20"/>
      <c r="M39" s="20"/>
      <c r="N39" s="21"/>
    </row>
    <row r="40" spans="1:14" ht="18" x14ac:dyDescent="0.35">
      <c r="A40" s="159"/>
      <c r="B40" s="30" t="s">
        <v>19</v>
      </c>
      <c r="C40" s="20" t="s">
        <v>18</v>
      </c>
      <c r="D40" s="31">
        <f>D36/D18</f>
        <v>1697.190058989044</v>
      </c>
      <c r="E40" s="21" t="s">
        <v>24</v>
      </c>
      <c r="J40" s="140"/>
      <c r="K40" s="30" t="s">
        <v>143</v>
      </c>
      <c r="L40" s="20" t="s">
        <v>145</v>
      </c>
      <c r="M40" s="20">
        <f>IF(M37="80L",VLOOKUP(M38,'Cylinder Characteristic'!A3:E16,2,FALSE),VLOOKUP(M38,'Cylinder Characteristic'!A3:E16,4,FALSE))</f>
        <v>439</v>
      </c>
      <c r="N40" s="21" t="s">
        <v>30</v>
      </c>
    </row>
    <row r="41" spans="1:14" ht="18.75" thickBot="1" x14ac:dyDescent="0.4">
      <c r="A41" s="159"/>
      <c r="B41" s="30"/>
      <c r="C41" s="20"/>
      <c r="D41" s="31"/>
      <c r="E41" s="21"/>
      <c r="J41" s="140"/>
      <c r="K41" s="30" t="s">
        <v>144</v>
      </c>
      <c r="L41" s="20" t="s">
        <v>13</v>
      </c>
      <c r="M41" s="20">
        <f>IF(M37="80L",VLOOKUP(M38,'Cylinder Characteristic'!A3:E16,3,FALSE),VLOOKUP(M38,'Cylinder Characteristic'!A3:E16,5,FALSE))</f>
        <v>490</v>
      </c>
      <c r="N41" s="21" t="s">
        <v>30</v>
      </c>
    </row>
    <row r="42" spans="1:14" ht="18" x14ac:dyDescent="0.35">
      <c r="A42" s="159"/>
      <c r="B42" s="66" t="s">
        <v>25</v>
      </c>
      <c r="C42" s="67" t="s">
        <v>26</v>
      </c>
      <c r="D42" s="67">
        <f>ROUNDUP(D40/D20,0)</f>
        <v>12</v>
      </c>
      <c r="E42" s="95" t="s">
        <v>28</v>
      </c>
      <c r="F42" s="147" t="s">
        <v>88</v>
      </c>
      <c r="G42" s="148"/>
      <c r="H42" s="149"/>
      <c r="J42" s="140"/>
      <c r="K42" s="30"/>
      <c r="L42" s="20"/>
      <c r="M42" s="20"/>
      <c r="N42" s="21"/>
    </row>
    <row r="43" spans="1:14" ht="18" x14ac:dyDescent="0.35">
      <c r="A43" s="159"/>
      <c r="B43" s="66" t="s">
        <v>89</v>
      </c>
      <c r="C43" s="67"/>
      <c r="D43" s="153" t="s">
        <v>94</v>
      </c>
      <c r="E43" s="154"/>
      <c r="F43" s="155"/>
      <c r="G43" s="156"/>
      <c r="H43" s="157"/>
      <c r="J43" s="140"/>
      <c r="K43" s="81" t="s">
        <v>25</v>
      </c>
      <c r="L43" s="82" t="s">
        <v>26</v>
      </c>
      <c r="M43" s="83">
        <v>12</v>
      </c>
      <c r="N43" s="84" t="s">
        <v>28</v>
      </c>
    </row>
    <row r="44" spans="1:14" ht="15.75" thickBot="1" x14ac:dyDescent="0.3">
      <c r="A44" s="159"/>
      <c r="B44" s="66" t="s">
        <v>91</v>
      </c>
      <c r="C44" s="67"/>
      <c r="D44" s="67">
        <f>D21</f>
        <v>1.06</v>
      </c>
      <c r="E44" s="95" t="str">
        <f>E21</f>
        <v>gpm</v>
      </c>
      <c r="F44" s="150"/>
      <c r="G44" s="151"/>
      <c r="H44" s="152"/>
      <c r="J44" s="140"/>
      <c r="K44" s="30" t="s">
        <v>89</v>
      </c>
      <c r="L44" s="20"/>
      <c r="M44" s="170" t="str">
        <f>D43</f>
        <v xml:space="preserve">1/2" Dome Foil </v>
      </c>
      <c r="N44" s="171"/>
    </row>
    <row r="45" spans="1:14" ht="15.75" thickBot="1" x14ac:dyDescent="0.3">
      <c r="A45" s="159"/>
      <c r="B45" s="30"/>
      <c r="C45" s="20"/>
      <c r="D45" s="20"/>
      <c r="E45" s="21"/>
      <c r="J45" s="140"/>
      <c r="K45" s="30" t="s">
        <v>91</v>
      </c>
      <c r="L45" s="20"/>
      <c r="M45" s="20">
        <f>D44</f>
        <v>1.06</v>
      </c>
      <c r="N45" s="21" t="s">
        <v>36</v>
      </c>
    </row>
    <row r="46" spans="1:14" ht="18" x14ac:dyDescent="0.35">
      <c r="A46" s="159"/>
      <c r="B46" s="32" t="s">
        <v>74</v>
      </c>
      <c r="C46" s="33" t="s">
        <v>27</v>
      </c>
      <c r="D46" s="34">
        <f>(D38*D28)/(D42*D20)</f>
        <v>5.0459770114942533</v>
      </c>
      <c r="E46" s="49" t="s">
        <v>22</v>
      </c>
      <c r="F46" s="147" t="s">
        <v>92</v>
      </c>
      <c r="G46" s="148"/>
      <c r="H46" s="149"/>
      <c r="J46" s="140"/>
      <c r="K46" s="30"/>
      <c r="L46" s="20"/>
      <c r="M46" s="20"/>
      <c r="N46" s="21"/>
    </row>
    <row r="47" spans="1:14" ht="18.75" thickBot="1" x14ac:dyDescent="0.4">
      <c r="A47" s="159"/>
      <c r="B47" s="32" t="s">
        <v>106</v>
      </c>
      <c r="C47" s="33" t="s">
        <v>104</v>
      </c>
      <c r="D47" s="34">
        <f>20.95*EXP(-(D38*D29*(273+D34))/(D13*D15*294.4))</f>
        <v>13.785550707968179</v>
      </c>
      <c r="E47" s="49" t="s">
        <v>31</v>
      </c>
      <c r="F47" s="150"/>
      <c r="G47" s="151"/>
      <c r="H47" s="152"/>
      <c r="J47" s="140"/>
      <c r="K47" s="30" t="s">
        <v>74</v>
      </c>
      <c r="L47" s="20" t="s">
        <v>27</v>
      </c>
      <c r="M47" s="31">
        <f>(M36*M40)/(M43*D20)</f>
        <v>4.5413793103448272</v>
      </c>
      <c r="N47" s="21" t="s">
        <v>22</v>
      </c>
    </row>
    <row r="48" spans="1:14" ht="18.75" thickBot="1" x14ac:dyDescent="0.4">
      <c r="A48" s="159"/>
      <c r="B48" s="30"/>
      <c r="C48" s="20"/>
      <c r="D48" s="31"/>
      <c r="E48" s="21"/>
      <c r="F48" s="51"/>
      <c r="G48" s="51"/>
      <c r="H48" s="51"/>
      <c r="J48" s="140"/>
      <c r="K48" s="30" t="s">
        <v>97</v>
      </c>
      <c r="L48" s="20" t="s">
        <v>71</v>
      </c>
      <c r="M48" s="31">
        <f>20.95*EXP(-(M36*M41*(273+D34))/(D13*D15*294.4))</f>
        <v>14.374743725960144</v>
      </c>
      <c r="N48" s="21" t="s">
        <v>31</v>
      </c>
    </row>
    <row r="49" spans="1:14" ht="18.75" thickBot="1" x14ac:dyDescent="0.4">
      <c r="A49" s="159"/>
      <c r="B49" s="66" t="s">
        <v>32</v>
      </c>
      <c r="C49" s="67" t="s">
        <v>37</v>
      </c>
      <c r="D49" s="96">
        <f>D21*D42*D46*D31</f>
        <v>77.021793103448289</v>
      </c>
      <c r="E49" s="95" t="s">
        <v>38</v>
      </c>
      <c r="F49" s="144" t="s">
        <v>82</v>
      </c>
      <c r="G49" s="145"/>
      <c r="H49" s="146"/>
      <c r="J49" s="140"/>
      <c r="K49" s="30"/>
      <c r="L49" s="20"/>
      <c r="M49" s="20"/>
      <c r="N49" s="21"/>
    </row>
    <row r="50" spans="1:14" ht="18.75" thickBot="1" x14ac:dyDescent="0.4">
      <c r="A50" s="160"/>
      <c r="B50" s="36"/>
      <c r="C50" s="22"/>
      <c r="D50" s="37"/>
      <c r="E50" s="23"/>
      <c r="J50" s="141"/>
      <c r="K50" s="36" t="s">
        <v>41</v>
      </c>
      <c r="L50" s="22" t="s">
        <v>37</v>
      </c>
      <c r="M50" s="37">
        <f>M45*M43*M47*D31</f>
        <v>69.319613793103443</v>
      </c>
      <c r="N50" s="23" t="s">
        <v>38</v>
      </c>
    </row>
  </sheetData>
  <sheetProtection algorithmName="SHA-512" hashValue="dwGMp0WCAMIw1NDDyv/DM1jwrd2RJdXRO73WQ4Q6JYiTHGbFt7J5xcKNECBhhZLoe5XITDy3p1QpiVlij/ouWQ==" saltValue="MHBW1ftKWI3b+wzwYI5erw==" spinCount="100000" sheet="1" objects="1" scenarios="1"/>
  <mergeCells count="15">
    <mergeCell ref="G8:J10"/>
    <mergeCell ref="M44:N44"/>
    <mergeCell ref="J27:N27"/>
    <mergeCell ref="A6:A9"/>
    <mergeCell ref="A13:A16"/>
    <mergeCell ref="A18:A23"/>
    <mergeCell ref="A25:A31"/>
    <mergeCell ref="A36:A50"/>
    <mergeCell ref="J36:J50"/>
    <mergeCell ref="A35:E35"/>
    <mergeCell ref="D43:E43"/>
    <mergeCell ref="F38:H39"/>
    <mergeCell ref="F42:H44"/>
    <mergeCell ref="F46:H47"/>
    <mergeCell ref="F49:H49"/>
  </mergeCells>
  <dataValidations count="1">
    <dataValidation type="list" allowBlank="1" showInputMessage="1" showErrorMessage="1" sqref="D14" xr:uid="{00000000-0002-0000-0200-000000000000}">
      <formula1>$A$4:$A$25</formula1>
    </dataValidation>
  </dataValidations>
  <pageMargins left="0.7" right="0.7" top="0.75" bottom="0.75" header="0.3" footer="0.3"/>
  <pageSetup orientation="portrait" verticalDpi="1200" r:id="rId1"/>
  <drawing r:id="rId2"/>
  <extLst>
    <ext xmlns:x14="http://schemas.microsoft.com/office/spreadsheetml/2009/9/main" uri="{CCE6A557-97BC-4b89-ADB6-D9C93CAAB3DF}">
      <x14:dataValidations xmlns:xm="http://schemas.microsoft.com/office/excel/2006/main" count="6">
        <x14:dataValidation type="list" allowBlank="1" showInputMessage="1" xr:uid="{00000000-0002-0000-0200-000001000000}">
          <x14:formula1>
            <xm:f>'Cylinder Characteristic'!$F$5:$F$6</xm:f>
          </x14:formula1>
          <xm:sqref>M37</xm:sqref>
        </x14:dataValidation>
        <x14:dataValidation type="list" allowBlank="1" showInputMessage="1" showErrorMessage="1" xr:uid="{00000000-0002-0000-0200-000002000000}">
          <x14:formula1>
            <xm:f>'Cylinder Characteristic'!$A$3:$A$16</xm:f>
          </x14:formula1>
          <xm:sqref>D9</xm:sqref>
        </x14:dataValidation>
        <x14:dataValidation type="list" allowBlank="1" showInputMessage="1" showErrorMessage="1" xr:uid="{00000000-0002-0000-0200-000004000000}">
          <x14:formula1>
            <xm:f>'Cylinder Characteristic'!$A$5:$A$13</xm:f>
          </x14:formula1>
          <xm:sqref>D10</xm:sqref>
        </x14:dataValidation>
        <x14:dataValidation type="list" allowBlank="1" showInputMessage="1" showErrorMessage="1" xr:uid="{00000000-0002-0000-0200-000005000000}">
          <x14:formula1>
            <xm:f>'Cylinder Characteristic'!$F$5:$F$6</xm:f>
          </x14:formula1>
          <xm:sqref>D8</xm:sqref>
        </x14:dataValidation>
        <x14:dataValidation type="list" allowBlank="1" showInputMessage="1" xr:uid="{00000000-0002-0000-0200-000006000000}">
          <x14:formula1>
            <xm:f>'Cylinder Characteristic'!$A$3:$A$13</xm:f>
          </x14:formula1>
          <xm:sqref>M38</xm:sqref>
        </x14:dataValidation>
        <x14:dataValidation type="list" allowBlank="1" showInputMessage="1" showErrorMessage="1" xr:uid="{00000000-0002-0000-0200-000003000000}">
          <x14:formula1>
            <xm:f>ACF!$A$2:$A$15</xm:f>
          </x14:formula1>
          <xm:sqref>D7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B52F3-B8A1-4574-8C80-5D44A2CFA941}">
  <sheetPr codeName="Sheet10"/>
  <dimension ref="A1:N50"/>
  <sheetViews>
    <sheetView showGridLines="0" topLeftCell="A5" zoomScale="80" zoomScaleNormal="80" workbookViewId="0">
      <selection activeCell="D7" sqref="D7"/>
    </sheetView>
  </sheetViews>
  <sheetFormatPr defaultRowHeight="15" x14ac:dyDescent="0.25"/>
  <cols>
    <col min="1" max="1" width="13.7109375" style="1" customWidth="1"/>
    <col min="2" max="2" width="42.42578125" customWidth="1"/>
    <col min="3" max="3" width="14.5703125" customWidth="1"/>
    <col min="4" max="4" width="11.7109375" customWidth="1"/>
    <col min="7" max="7" width="9.7109375" customWidth="1"/>
    <col min="9" max="9" width="8.42578125" customWidth="1"/>
    <col min="10" max="10" width="9.5703125" customWidth="1"/>
    <col min="11" max="11" width="34.5703125" customWidth="1"/>
    <col min="12" max="12" width="11.85546875" customWidth="1"/>
    <col min="13" max="13" width="10.85546875" customWidth="1"/>
    <col min="14" max="14" width="14.42578125" customWidth="1"/>
  </cols>
  <sheetData>
    <row r="1" spans="1:10" ht="44.45" customHeight="1" x14ac:dyDescent="0.25">
      <c r="B1" s="108" t="s">
        <v>175</v>
      </c>
      <c r="H1" s="51">
        <f>Information!D2</f>
        <v>2.4</v>
      </c>
    </row>
    <row r="2" spans="1:10" x14ac:dyDescent="0.25">
      <c r="B2" t="s">
        <v>80</v>
      </c>
    </row>
    <row r="4" spans="1:10" x14ac:dyDescent="0.25">
      <c r="B4" s="50" t="s">
        <v>126</v>
      </c>
    </row>
    <row r="5" spans="1:10" ht="15.75" thickBot="1" x14ac:dyDescent="0.3"/>
    <row r="6" spans="1:10" ht="17.25" x14ac:dyDescent="0.25">
      <c r="A6" s="172" t="s">
        <v>83</v>
      </c>
      <c r="B6" s="12" t="s">
        <v>0</v>
      </c>
      <c r="C6" s="12" t="s">
        <v>1</v>
      </c>
      <c r="D6" s="11">
        <v>146400</v>
      </c>
      <c r="E6" s="13" t="s">
        <v>10</v>
      </c>
    </row>
    <row r="7" spans="1:10" ht="15.75" thickBot="1" x14ac:dyDescent="0.3">
      <c r="A7" s="173"/>
      <c r="B7" s="14" t="s">
        <v>55</v>
      </c>
      <c r="C7" s="14" t="s">
        <v>57</v>
      </c>
      <c r="D7" s="8">
        <v>0</v>
      </c>
      <c r="E7" s="15" t="s">
        <v>56</v>
      </c>
    </row>
    <row r="8" spans="1:10" ht="15" customHeight="1" x14ac:dyDescent="0.25">
      <c r="A8" s="173"/>
      <c r="B8" s="14" t="s">
        <v>68</v>
      </c>
      <c r="C8" s="14"/>
      <c r="D8" s="8" t="s">
        <v>63</v>
      </c>
      <c r="E8" s="15"/>
      <c r="G8" s="139" t="s">
        <v>142</v>
      </c>
      <c r="H8" s="164"/>
      <c r="I8" s="164"/>
      <c r="J8" s="165"/>
    </row>
    <row r="9" spans="1:10" ht="18.75" customHeight="1" thickBot="1" x14ac:dyDescent="0.4">
      <c r="A9" s="174"/>
      <c r="B9" s="16" t="s">
        <v>134</v>
      </c>
      <c r="C9" s="16" t="s">
        <v>50</v>
      </c>
      <c r="D9" s="10">
        <v>3000</v>
      </c>
      <c r="E9" s="17" t="s">
        <v>51</v>
      </c>
      <c r="G9" s="140"/>
      <c r="H9" s="166"/>
      <c r="I9" s="166"/>
      <c r="J9" s="167"/>
    </row>
    <row r="10" spans="1:10" ht="15.75" thickBot="1" x14ac:dyDescent="0.3">
      <c r="G10" s="141"/>
      <c r="H10" s="168"/>
      <c r="I10" s="168"/>
      <c r="J10" s="169"/>
    </row>
    <row r="12" spans="1:10" ht="15.75" thickBot="1" x14ac:dyDescent="0.3"/>
    <row r="13" spans="1:10" ht="16.149999999999999" customHeight="1" x14ac:dyDescent="0.25">
      <c r="A13" s="130" t="s">
        <v>84</v>
      </c>
      <c r="B13" s="18" t="s">
        <v>0</v>
      </c>
      <c r="C13" s="18" t="s">
        <v>1</v>
      </c>
      <c r="D13" s="18">
        <f>D6</f>
        <v>146400</v>
      </c>
      <c r="E13" s="19" t="s">
        <v>10</v>
      </c>
    </row>
    <row r="14" spans="1:10" ht="16.149999999999999" customHeight="1" x14ac:dyDescent="0.25">
      <c r="A14" s="131"/>
      <c r="B14" s="20" t="s">
        <v>55</v>
      </c>
      <c r="C14" s="20" t="s">
        <v>57</v>
      </c>
      <c r="D14" s="20">
        <f>D7</f>
        <v>0</v>
      </c>
      <c r="E14" s="21" t="s">
        <v>56</v>
      </c>
    </row>
    <row r="15" spans="1:10" x14ac:dyDescent="0.25">
      <c r="A15" s="131"/>
      <c r="B15" s="20" t="s">
        <v>2</v>
      </c>
      <c r="C15" s="20" t="s">
        <v>3</v>
      </c>
      <c r="D15" s="20">
        <f>VLOOKUP(D14,ACF!A2:B15,2,FALSE)</f>
        <v>1</v>
      </c>
      <c r="E15" s="21"/>
    </row>
    <row r="16" spans="1:10" ht="18.75" thickBot="1" x14ac:dyDescent="0.4">
      <c r="A16" s="132"/>
      <c r="B16" s="22" t="s">
        <v>81</v>
      </c>
      <c r="C16" s="22" t="s">
        <v>77</v>
      </c>
      <c r="D16" s="22">
        <v>70</v>
      </c>
      <c r="E16" s="23" t="s">
        <v>60</v>
      </c>
    </row>
    <row r="17" spans="1:14" ht="15.75" thickBot="1" x14ac:dyDescent="0.3"/>
    <row r="18" spans="1:14" ht="18" x14ac:dyDescent="0.35">
      <c r="A18" s="133" t="s">
        <v>85</v>
      </c>
      <c r="B18" s="44" t="s">
        <v>20</v>
      </c>
      <c r="C18" s="44" t="s">
        <v>21</v>
      </c>
      <c r="D18" s="44">
        <v>3</v>
      </c>
      <c r="E18" s="45" t="s">
        <v>22</v>
      </c>
    </row>
    <row r="19" spans="1:14" ht="18" hidden="1" x14ac:dyDescent="0.35">
      <c r="A19" s="134"/>
      <c r="B19" s="33" t="s">
        <v>8</v>
      </c>
      <c r="C19" s="33" t="s">
        <v>9</v>
      </c>
      <c r="D19" s="33">
        <v>0.75</v>
      </c>
      <c r="E19" s="35"/>
    </row>
    <row r="20" spans="1:14" ht="18" x14ac:dyDescent="0.35">
      <c r="A20" s="134"/>
      <c r="B20" s="33" t="s">
        <v>33</v>
      </c>
      <c r="C20" s="33" t="s">
        <v>23</v>
      </c>
      <c r="D20" s="33">
        <v>145</v>
      </c>
      <c r="E20" s="35" t="s">
        <v>24</v>
      </c>
    </row>
    <row r="21" spans="1:14" ht="18" x14ac:dyDescent="0.35">
      <c r="A21" s="134"/>
      <c r="B21" s="33" t="s">
        <v>34</v>
      </c>
      <c r="C21" s="33" t="s">
        <v>35</v>
      </c>
      <c r="D21" s="33">
        <v>1.06</v>
      </c>
      <c r="E21" s="35" t="s">
        <v>36</v>
      </c>
    </row>
    <row r="22" spans="1:14" hidden="1" x14ac:dyDescent="0.25">
      <c r="A22" s="134"/>
      <c r="B22" s="33" t="s">
        <v>11</v>
      </c>
      <c r="C22" s="33" t="s">
        <v>12</v>
      </c>
      <c r="D22" s="33">
        <v>0.33200000000000002</v>
      </c>
      <c r="E22" s="35"/>
    </row>
    <row r="23" spans="1:14" ht="18.75" thickBot="1" x14ac:dyDescent="0.4">
      <c r="A23" s="135"/>
      <c r="B23" s="46" t="s">
        <v>72</v>
      </c>
      <c r="C23" s="46" t="s">
        <v>73</v>
      </c>
      <c r="D23" s="47">
        <v>0.375</v>
      </c>
      <c r="E23" s="48"/>
    </row>
    <row r="24" spans="1:14" ht="15.75" thickBot="1" x14ac:dyDescent="0.3">
      <c r="D24" s="24"/>
    </row>
    <row r="25" spans="1:14" ht="18" x14ac:dyDescent="0.35">
      <c r="A25" s="136" t="s">
        <v>86</v>
      </c>
      <c r="B25" s="38" t="s">
        <v>46</v>
      </c>
      <c r="C25" s="38" t="s">
        <v>45</v>
      </c>
      <c r="D25" s="38">
        <v>1.2</v>
      </c>
      <c r="E25" s="39"/>
    </row>
    <row r="26" spans="1:14" x14ac:dyDescent="0.25">
      <c r="A26" s="137"/>
      <c r="B26" s="40" t="s">
        <v>68</v>
      </c>
      <c r="C26" s="40"/>
      <c r="D26" s="40" t="str">
        <f>D8</f>
        <v>80L</v>
      </c>
      <c r="E26" s="41"/>
    </row>
    <row r="27" spans="1:14" ht="18.75" thickBot="1" x14ac:dyDescent="0.4">
      <c r="A27" s="137"/>
      <c r="B27" s="40" t="s">
        <v>134</v>
      </c>
      <c r="C27" s="40" t="s">
        <v>50</v>
      </c>
      <c r="D27" s="40">
        <f>D9</f>
        <v>3000</v>
      </c>
      <c r="E27" s="41" t="s">
        <v>51</v>
      </c>
      <c r="J27" s="143" t="s">
        <v>112</v>
      </c>
      <c r="K27" s="143"/>
      <c r="L27" s="143"/>
      <c r="M27" s="143"/>
      <c r="N27" s="143"/>
    </row>
    <row r="28" spans="1:14" ht="18" x14ac:dyDescent="0.35">
      <c r="A28" s="137"/>
      <c r="B28" s="40" t="s">
        <v>143</v>
      </c>
      <c r="C28" s="40" t="s">
        <v>145</v>
      </c>
      <c r="D28" s="40">
        <f>IF(D26="80L",VLOOKUP(D27,'Cylinder Characteristic'!A3:E16,2,FALSE),VLOOKUP(D27,'Cylinder Characteristic'!A3:E16,4,FALSE))</f>
        <v>498</v>
      </c>
      <c r="E28" s="41" t="s">
        <v>30</v>
      </c>
      <c r="J28" s="87"/>
      <c r="K28" s="26"/>
      <c r="L28" s="26"/>
      <c r="M28" s="26"/>
      <c r="N28" s="92"/>
    </row>
    <row r="29" spans="1:14" ht="18" x14ac:dyDescent="0.35">
      <c r="A29" s="137"/>
      <c r="B29" s="40" t="s">
        <v>144</v>
      </c>
      <c r="C29" s="40" t="s">
        <v>13</v>
      </c>
      <c r="D29" s="40">
        <f>IF(D26="80L",VLOOKUP(D27,'Cylinder Characteristic'!A3:E16,3,FALSE),VLOOKUP(D27,'Cylinder Characteristic'!A3:E16,5,FALSE))</f>
        <v>549</v>
      </c>
      <c r="E29" s="41" t="s">
        <v>30</v>
      </c>
      <c r="J29" s="88"/>
      <c r="N29" s="93"/>
    </row>
    <row r="30" spans="1:14" ht="18" x14ac:dyDescent="0.35">
      <c r="A30" s="137"/>
      <c r="B30" s="40" t="s">
        <v>53</v>
      </c>
      <c r="C30" s="40" t="s">
        <v>54</v>
      </c>
      <c r="D30" s="40">
        <v>250</v>
      </c>
      <c r="E30" s="41" t="s">
        <v>51</v>
      </c>
      <c r="J30" s="88"/>
      <c r="N30" s="93"/>
    </row>
    <row r="31" spans="1:14" ht="18.75" thickBot="1" x14ac:dyDescent="0.4">
      <c r="A31" s="138"/>
      <c r="B31" s="42" t="s">
        <v>43</v>
      </c>
      <c r="C31" s="42" t="s">
        <v>44</v>
      </c>
      <c r="D31" s="42">
        <v>1.2</v>
      </c>
      <c r="E31" s="43"/>
      <c r="J31" s="88"/>
      <c r="N31" s="93"/>
    </row>
    <row r="32" spans="1:14" x14ac:dyDescent="0.25">
      <c r="J32" s="88"/>
      <c r="N32" s="93"/>
    </row>
    <row r="33" spans="1:14" x14ac:dyDescent="0.25">
      <c r="J33" s="88"/>
      <c r="K33" s="89" t="s">
        <v>113</v>
      </c>
      <c r="L33" s="89"/>
      <c r="M33" s="89"/>
      <c r="N33" s="93"/>
    </row>
    <row r="34" spans="1:14" ht="18" hidden="1" x14ac:dyDescent="0.35">
      <c r="B34" s="27" t="s">
        <v>93</v>
      </c>
      <c r="C34" s="27" t="s">
        <v>77</v>
      </c>
      <c r="D34" s="27">
        <f>(D16-32)/1.8</f>
        <v>21.111111111111111</v>
      </c>
      <c r="E34" s="27" t="s">
        <v>60</v>
      </c>
      <c r="J34" s="88"/>
      <c r="N34" s="93"/>
    </row>
    <row r="35" spans="1:14" ht="15.75" thickBot="1" x14ac:dyDescent="0.3">
      <c r="A35" s="143" t="s">
        <v>111</v>
      </c>
      <c r="B35" s="143"/>
      <c r="C35" s="143"/>
      <c r="D35" s="143"/>
      <c r="E35" s="143"/>
      <c r="J35" s="90"/>
      <c r="K35" s="91"/>
      <c r="L35" s="91"/>
      <c r="M35" s="91"/>
      <c r="N35" s="94"/>
    </row>
    <row r="36" spans="1:14" ht="18" x14ac:dyDescent="0.35">
      <c r="A36" s="158" t="s">
        <v>47</v>
      </c>
      <c r="B36" s="28" t="s">
        <v>14</v>
      </c>
      <c r="C36" s="18" t="s">
        <v>15</v>
      </c>
      <c r="D36" s="29">
        <f>D13*(294.4/(273+D34))*D15*D23*D25</f>
        <v>65944.710238005282</v>
      </c>
      <c r="E36" s="19" t="s">
        <v>30</v>
      </c>
      <c r="J36" s="139" t="s">
        <v>98</v>
      </c>
      <c r="K36" s="77" t="s">
        <v>16</v>
      </c>
      <c r="L36" s="78" t="s">
        <v>17</v>
      </c>
      <c r="M36" s="79"/>
      <c r="N36" s="80" t="s">
        <v>29</v>
      </c>
    </row>
    <row r="37" spans="1:14" ht="15.75" thickBot="1" x14ac:dyDescent="0.3">
      <c r="A37" s="159"/>
      <c r="B37" s="30"/>
      <c r="C37" s="20"/>
      <c r="D37" s="31"/>
      <c r="E37" s="21"/>
      <c r="J37" s="140"/>
      <c r="K37" s="81" t="s">
        <v>68</v>
      </c>
      <c r="L37" s="82"/>
      <c r="M37" s="83"/>
      <c r="N37" s="84"/>
    </row>
    <row r="38" spans="1:14" ht="18" x14ac:dyDescent="0.35">
      <c r="A38" s="159"/>
      <c r="B38" s="66" t="s">
        <v>16</v>
      </c>
      <c r="C38" s="67" t="s">
        <v>17</v>
      </c>
      <c r="D38" s="67">
        <f>ROUNDUP(D36/D28,0)</f>
        <v>133</v>
      </c>
      <c r="E38" s="95" t="s">
        <v>29</v>
      </c>
      <c r="F38" s="147" t="s">
        <v>87</v>
      </c>
      <c r="G38" s="148"/>
      <c r="H38" s="149"/>
      <c r="J38" s="140"/>
      <c r="K38" s="81" t="s">
        <v>134</v>
      </c>
      <c r="L38" s="82" t="s">
        <v>50</v>
      </c>
      <c r="M38" s="83"/>
      <c r="N38" s="84" t="s">
        <v>51</v>
      </c>
    </row>
    <row r="39" spans="1:14" ht="15.75" thickBot="1" x14ac:dyDescent="0.3">
      <c r="A39" s="159"/>
      <c r="B39" s="66" t="s">
        <v>68</v>
      </c>
      <c r="C39" s="67"/>
      <c r="D39" s="67" t="str">
        <f>D26</f>
        <v>80L</v>
      </c>
      <c r="E39" s="95"/>
      <c r="F39" s="150"/>
      <c r="G39" s="151"/>
      <c r="H39" s="152"/>
      <c r="J39" s="140"/>
      <c r="K39" s="30"/>
      <c r="L39" s="20"/>
      <c r="M39" s="20"/>
      <c r="N39" s="21"/>
    </row>
    <row r="40" spans="1:14" ht="18" x14ac:dyDescent="0.35">
      <c r="A40" s="159"/>
      <c r="B40" s="30" t="s">
        <v>19</v>
      </c>
      <c r="C40" s="20" t="s">
        <v>18</v>
      </c>
      <c r="D40" s="31">
        <f>D36/D18</f>
        <v>21981.570079335095</v>
      </c>
      <c r="E40" s="21" t="s">
        <v>24</v>
      </c>
      <c r="J40" s="140"/>
      <c r="K40" s="30" t="s">
        <v>143</v>
      </c>
      <c r="L40" s="20" t="s">
        <v>145</v>
      </c>
      <c r="M40" s="20" t="e">
        <f>IF(M37="80L",VLOOKUP(M38,'Cylinder Characteristic'!A3:E16,2,FALSE),VLOOKUP(M38,'Cylinder Characteristic'!A3:E16,4,FALSE))</f>
        <v>#N/A</v>
      </c>
      <c r="N40" s="21" t="s">
        <v>30</v>
      </c>
    </row>
    <row r="41" spans="1:14" ht="18.75" thickBot="1" x14ac:dyDescent="0.4">
      <c r="A41" s="159"/>
      <c r="B41" s="30"/>
      <c r="C41" s="20"/>
      <c r="D41" s="31"/>
      <c r="E41" s="21"/>
      <c r="J41" s="140"/>
      <c r="K41" s="30" t="s">
        <v>144</v>
      </c>
      <c r="L41" s="20" t="s">
        <v>13</v>
      </c>
      <c r="M41" s="20" t="e">
        <f>IF(M37="80L",VLOOKUP(M38,'Cylinder Characteristic'!A3:E16,3,FALSE),VLOOKUP(M38,'Cylinder Characteristic'!A3:E16,5,FALSE))</f>
        <v>#N/A</v>
      </c>
      <c r="N41" s="21" t="s">
        <v>30</v>
      </c>
    </row>
    <row r="42" spans="1:14" ht="18" x14ac:dyDescent="0.35">
      <c r="A42" s="159"/>
      <c r="B42" s="66" t="s">
        <v>25</v>
      </c>
      <c r="C42" s="67" t="s">
        <v>26</v>
      </c>
      <c r="D42" s="67">
        <f>ROUNDUP(D40/D20,0)</f>
        <v>152</v>
      </c>
      <c r="E42" s="95" t="s">
        <v>28</v>
      </c>
      <c r="F42" s="147" t="s">
        <v>88</v>
      </c>
      <c r="G42" s="148"/>
      <c r="H42" s="149"/>
      <c r="J42" s="140"/>
      <c r="K42" s="30"/>
      <c r="L42" s="20"/>
      <c r="M42" s="20"/>
      <c r="N42" s="21"/>
    </row>
    <row r="43" spans="1:14" ht="18" x14ac:dyDescent="0.35">
      <c r="A43" s="159"/>
      <c r="B43" s="66" t="s">
        <v>89</v>
      </c>
      <c r="C43" s="67"/>
      <c r="D43" s="153" t="s">
        <v>94</v>
      </c>
      <c r="E43" s="154"/>
      <c r="F43" s="155"/>
      <c r="G43" s="156"/>
      <c r="H43" s="157"/>
      <c r="J43" s="140"/>
      <c r="K43" s="81" t="s">
        <v>25</v>
      </c>
      <c r="L43" s="82" t="s">
        <v>26</v>
      </c>
      <c r="M43" s="83"/>
      <c r="N43" s="84" t="s">
        <v>28</v>
      </c>
    </row>
    <row r="44" spans="1:14" ht="15.75" thickBot="1" x14ac:dyDescent="0.3">
      <c r="A44" s="159"/>
      <c r="B44" s="66" t="s">
        <v>91</v>
      </c>
      <c r="C44" s="67"/>
      <c r="D44" s="67">
        <f>D21</f>
        <v>1.06</v>
      </c>
      <c r="E44" s="95" t="str">
        <f>E21</f>
        <v>gpm</v>
      </c>
      <c r="F44" s="150"/>
      <c r="G44" s="151"/>
      <c r="H44" s="152"/>
      <c r="J44" s="140"/>
      <c r="K44" s="30" t="s">
        <v>89</v>
      </c>
      <c r="L44" s="20"/>
      <c r="M44" s="170" t="str">
        <f>D43</f>
        <v xml:space="preserve">1/2" Dome Foil </v>
      </c>
      <c r="N44" s="171"/>
    </row>
    <row r="45" spans="1:14" ht="15.75" thickBot="1" x14ac:dyDescent="0.3">
      <c r="A45" s="159"/>
      <c r="B45" s="30"/>
      <c r="C45" s="20"/>
      <c r="D45" s="20"/>
      <c r="E45" s="21"/>
      <c r="J45" s="140"/>
      <c r="K45" s="30" t="s">
        <v>91</v>
      </c>
      <c r="L45" s="20"/>
      <c r="M45" s="20">
        <f>D44</f>
        <v>1.06</v>
      </c>
      <c r="N45" s="21" t="s">
        <v>36</v>
      </c>
    </row>
    <row r="46" spans="1:14" ht="18" x14ac:dyDescent="0.35">
      <c r="A46" s="159"/>
      <c r="B46" s="32" t="s">
        <v>74</v>
      </c>
      <c r="C46" s="33" t="s">
        <v>27</v>
      </c>
      <c r="D46" s="34">
        <f>(D38*D28)/(D42*D20)</f>
        <v>3.0051724137931033</v>
      </c>
      <c r="E46" s="49" t="s">
        <v>22</v>
      </c>
      <c r="F46" s="147" t="s">
        <v>92</v>
      </c>
      <c r="G46" s="148"/>
      <c r="H46" s="149"/>
      <c r="J46" s="140"/>
      <c r="K46" s="30"/>
      <c r="L46" s="20"/>
      <c r="M46" s="20"/>
      <c r="N46" s="21"/>
    </row>
    <row r="47" spans="1:14" ht="18.75" thickBot="1" x14ac:dyDescent="0.4">
      <c r="A47" s="159"/>
      <c r="B47" s="32" t="s">
        <v>106</v>
      </c>
      <c r="C47" s="33" t="s">
        <v>104</v>
      </c>
      <c r="D47" s="34">
        <f>20.95*EXP(-(D38*D29*(273+D34))/(D13*D15*294.4))</f>
        <v>12.728938964288716</v>
      </c>
      <c r="E47" s="49" t="s">
        <v>31</v>
      </c>
      <c r="F47" s="150"/>
      <c r="G47" s="151"/>
      <c r="H47" s="152"/>
      <c r="J47" s="140"/>
      <c r="K47" s="30" t="s">
        <v>74</v>
      </c>
      <c r="L47" s="20" t="s">
        <v>27</v>
      </c>
      <c r="M47" s="31" t="e">
        <f>(M36*M40)/(M43*D20)</f>
        <v>#N/A</v>
      </c>
      <c r="N47" s="21" t="s">
        <v>22</v>
      </c>
    </row>
    <row r="48" spans="1:14" ht="18.75" thickBot="1" x14ac:dyDescent="0.4">
      <c r="A48" s="159"/>
      <c r="B48" s="30"/>
      <c r="C48" s="20"/>
      <c r="D48" s="31"/>
      <c r="E48" s="21"/>
      <c r="F48" s="51"/>
      <c r="G48" s="51"/>
      <c r="H48" s="51"/>
      <c r="J48" s="140"/>
      <c r="K48" s="30" t="s">
        <v>97</v>
      </c>
      <c r="L48" s="20" t="s">
        <v>71</v>
      </c>
      <c r="M48" s="31" t="e">
        <f>20.95*EXP(-(M36*M41*(273+D34))/(D13*D15*294.4))</f>
        <v>#N/A</v>
      </c>
      <c r="N48" s="21" t="s">
        <v>31</v>
      </c>
    </row>
    <row r="49" spans="1:14" ht="18.75" thickBot="1" x14ac:dyDescent="0.4">
      <c r="A49" s="159"/>
      <c r="B49" s="66" t="s">
        <v>32</v>
      </c>
      <c r="C49" s="67" t="s">
        <v>37</v>
      </c>
      <c r="D49" s="96">
        <f>D21*D42*D46*D31</f>
        <v>581.03205517241372</v>
      </c>
      <c r="E49" s="95" t="s">
        <v>38</v>
      </c>
      <c r="F49" s="144" t="s">
        <v>82</v>
      </c>
      <c r="G49" s="145"/>
      <c r="H49" s="146"/>
      <c r="J49" s="140"/>
      <c r="K49" s="30"/>
      <c r="L49" s="20"/>
      <c r="M49" s="20"/>
      <c r="N49" s="21"/>
    </row>
    <row r="50" spans="1:14" ht="18.75" thickBot="1" x14ac:dyDescent="0.4">
      <c r="A50" s="160"/>
      <c r="B50" s="36"/>
      <c r="C50" s="22"/>
      <c r="D50" s="37"/>
      <c r="E50" s="23"/>
      <c r="J50" s="141"/>
      <c r="K50" s="36" t="s">
        <v>41</v>
      </c>
      <c r="L50" s="22" t="s">
        <v>37</v>
      </c>
      <c r="M50" s="37" t="e">
        <f>M45*M43*M47*D31</f>
        <v>#N/A</v>
      </c>
      <c r="N50" s="23" t="s">
        <v>38</v>
      </c>
    </row>
  </sheetData>
  <sheetProtection algorithmName="SHA-512" hashValue="vw+n8pmI6TFf3SQOD7JBI2z0fZgtN4msjakbLjA5lymv/j00Qc1f9jAWbohYASTZtnzfMFyyC0RO63ngxBqZ+Q==" saltValue="ZlxwLiBS11LFVrnf8YrfjA==" spinCount="100000" sheet="1" objects="1" scenarios="1"/>
  <mergeCells count="15">
    <mergeCell ref="M44:N44"/>
    <mergeCell ref="F46:H47"/>
    <mergeCell ref="F49:H49"/>
    <mergeCell ref="A35:E35"/>
    <mergeCell ref="A36:A50"/>
    <mergeCell ref="J36:J50"/>
    <mergeCell ref="F38:H39"/>
    <mergeCell ref="F42:H44"/>
    <mergeCell ref="D43:E43"/>
    <mergeCell ref="A6:A9"/>
    <mergeCell ref="G8:J10"/>
    <mergeCell ref="A13:A16"/>
    <mergeCell ref="A18:A23"/>
    <mergeCell ref="A25:A31"/>
    <mergeCell ref="J27:N27"/>
  </mergeCells>
  <dataValidations count="1">
    <dataValidation type="list" allowBlank="1" showInputMessage="1" showErrorMessage="1" sqref="D14" xr:uid="{E516FA94-A494-4CA4-8686-FCE52092D568}">
      <formula1>$A$4:$A$25</formula1>
    </dataValidation>
  </dataValidations>
  <pageMargins left="0.7" right="0.7" top="0.75" bottom="0.75" header="0.3" footer="0.3"/>
  <pageSetup orientation="portrait" verticalDpi="1200"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7178000C-30BE-4B6C-BCA6-E591EBDCF42A}">
          <x14:formula1>
            <xm:f>ACF!$A$2:$A$15</xm:f>
          </x14:formula1>
          <xm:sqref>D7</xm:sqref>
        </x14:dataValidation>
        <x14:dataValidation type="list" allowBlank="1" showInputMessage="1" xr:uid="{931B88A6-753A-4456-913D-0DD2C9492F03}">
          <x14:formula1>
            <xm:f>'Cylinder Characteristic'!$A$3:$A$13</xm:f>
          </x14:formula1>
          <xm:sqref>M38</xm:sqref>
        </x14:dataValidation>
        <x14:dataValidation type="list" allowBlank="1" showInputMessage="1" showErrorMessage="1" xr:uid="{3E59BE9C-6DE9-4212-B067-D85E6B44AB67}">
          <x14:formula1>
            <xm:f>'Cylinder Characteristic'!$F$5:$F$6</xm:f>
          </x14:formula1>
          <xm:sqref>D8</xm:sqref>
        </x14:dataValidation>
        <x14:dataValidation type="list" allowBlank="1" showInputMessage="1" showErrorMessage="1" xr:uid="{2E65EA03-2C30-4615-B990-4CA610E134DE}">
          <x14:formula1>
            <xm:f>'Cylinder Characteristic'!$A$5:$A$13</xm:f>
          </x14:formula1>
          <xm:sqref>D10</xm:sqref>
        </x14:dataValidation>
        <x14:dataValidation type="list" allowBlank="1" showInputMessage="1" showErrorMessage="1" xr:uid="{F28ECDAE-C5B7-45FA-A95D-863964E908B9}">
          <x14:formula1>
            <xm:f>'Cylinder Characteristic'!$A$3:$A$16</xm:f>
          </x14:formula1>
          <xm:sqref>D9</xm:sqref>
        </x14:dataValidation>
        <x14:dataValidation type="list" allowBlank="1" showInputMessage="1" xr:uid="{5D8D71DF-8A6E-4363-9643-00B660A5F0A8}">
          <x14:formula1>
            <xm:f>'Cylinder Characteristic'!$F$5:$F$6</xm:f>
          </x14:formula1>
          <xm:sqref>M37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A1:O57"/>
  <sheetViews>
    <sheetView showGridLines="0" topLeftCell="A8" zoomScale="85" zoomScaleNormal="85" workbookViewId="0">
      <selection activeCell="D52" sqref="D52"/>
    </sheetView>
  </sheetViews>
  <sheetFormatPr defaultRowHeight="15" x14ac:dyDescent="0.25"/>
  <cols>
    <col min="1" max="1" width="13.7109375" style="1" customWidth="1"/>
    <col min="2" max="2" width="43.28515625" customWidth="1"/>
    <col min="3" max="3" width="14.5703125" customWidth="1"/>
    <col min="7" max="7" width="7.7109375" customWidth="1"/>
    <col min="8" max="8" width="12.140625" customWidth="1"/>
    <col min="10" max="10" width="7.42578125" customWidth="1"/>
    <col min="11" max="11" width="12.140625" customWidth="1"/>
    <col min="12" max="12" width="41" customWidth="1"/>
    <col min="13" max="13" width="14" customWidth="1"/>
  </cols>
  <sheetData>
    <row r="1" spans="1:5" ht="39.6" customHeight="1" x14ac:dyDescent="0.25">
      <c r="B1" s="52" t="s">
        <v>79</v>
      </c>
      <c r="E1" s="51">
        <f>Information!D2</f>
        <v>2.4</v>
      </c>
    </row>
    <row r="2" spans="1:5" ht="13.15" customHeight="1" x14ac:dyDescent="0.25">
      <c r="B2" s="52"/>
    </row>
    <row r="3" spans="1:5" x14ac:dyDescent="0.25">
      <c r="B3" t="s">
        <v>80</v>
      </c>
    </row>
    <row r="5" spans="1:5" ht="76.150000000000006" customHeight="1" x14ac:dyDescent="0.25">
      <c r="B5" s="175" t="s">
        <v>123</v>
      </c>
      <c r="C5" s="175"/>
      <c r="D5" s="175"/>
      <c r="E5" s="175"/>
    </row>
    <row r="7" spans="1:5" x14ac:dyDescent="0.25">
      <c r="B7" s="50" t="s">
        <v>126</v>
      </c>
    </row>
    <row r="8" spans="1:5" x14ac:dyDescent="0.25">
      <c r="B8" s="107" t="s">
        <v>127</v>
      </c>
    </row>
    <row r="9" spans="1:5" ht="15.75" thickBot="1" x14ac:dyDescent="0.3"/>
    <row r="10" spans="1:5" ht="16.149999999999999" customHeight="1" x14ac:dyDescent="0.25">
      <c r="A10" s="158" t="s">
        <v>84</v>
      </c>
      <c r="B10" s="53" t="s">
        <v>0</v>
      </c>
      <c r="C10" s="12" t="s">
        <v>1</v>
      </c>
      <c r="D10" s="11">
        <v>1800</v>
      </c>
      <c r="E10" s="13" t="s">
        <v>10</v>
      </c>
    </row>
    <row r="11" spans="1:5" ht="16.149999999999999" customHeight="1" x14ac:dyDescent="0.25">
      <c r="A11" s="159"/>
      <c r="B11" s="54" t="s">
        <v>55</v>
      </c>
      <c r="C11" s="14" t="s">
        <v>57</v>
      </c>
      <c r="D11" s="8">
        <v>0</v>
      </c>
      <c r="E11" s="15" t="s">
        <v>56</v>
      </c>
    </row>
    <row r="12" spans="1:5" x14ac:dyDescent="0.25">
      <c r="A12" s="159"/>
      <c r="B12" s="30" t="s">
        <v>2</v>
      </c>
      <c r="C12" s="20" t="s">
        <v>3</v>
      </c>
      <c r="D12" s="20">
        <f>VLOOKUP(D11,ACF!A2:B15,2,FALSE)</f>
        <v>1</v>
      </c>
      <c r="E12" s="21"/>
    </row>
    <row r="13" spans="1:5" ht="18" x14ac:dyDescent="0.35">
      <c r="A13" s="159"/>
      <c r="B13" s="54" t="s">
        <v>4</v>
      </c>
      <c r="C13" s="14" t="s">
        <v>5</v>
      </c>
      <c r="D13" s="8">
        <v>70</v>
      </c>
      <c r="E13" s="15" t="s">
        <v>60</v>
      </c>
    </row>
    <row r="14" spans="1:5" ht="18" x14ac:dyDescent="0.35">
      <c r="A14" s="159"/>
      <c r="B14" s="55" t="s">
        <v>76</v>
      </c>
      <c r="C14" s="14" t="s">
        <v>77</v>
      </c>
      <c r="D14" s="9">
        <v>70</v>
      </c>
      <c r="E14" s="15" t="s">
        <v>60</v>
      </c>
    </row>
    <row r="15" spans="1:5" ht="18.75" thickBot="1" x14ac:dyDescent="0.4">
      <c r="A15" s="160"/>
      <c r="B15" s="56" t="s">
        <v>6</v>
      </c>
      <c r="C15" s="16" t="s">
        <v>7</v>
      </c>
      <c r="D15" s="10">
        <v>70</v>
      </c>
      <c r="E15" s="17" t="s">
        <v>60</v>
      </c>
    </row>
    <row r="16" spans="1:5" ht="15.75" thickBot="1" x14ac:dyDescent="0.3">
      <c r="A16" s="57"/>
    </row>
    <row r="17" spans="1:15" ht="18" x14ac:dyDescent="0.35">
      <c r="A17" s="158" t="s">
        <v>85</v>
      </c>
      <c r="B17" s="53" t="s">
        <v>20</v>
      </c>
      <c r="C17" s="12" t="s">
        <v>21</v>
      </c>
      <c r="D17" s="11">
        <v>3</v>
      </c>
      <c r="E17" s="13" t="s">
        <v>22</v>
      </c>
    </row>
    <row r="18" spans="1:15" x14ac:dyDescent="0.25">
      <c r="A18" s="159"/>
      <c r="B18" s="100" t="s">
        <v>117</v>
      </c>
      <c r="C18" s="176" t="s">
        <v>168</v>
      </c>
      <c r="D18" s="177"/>
      <c r="E18" s="178"/>
    </row>
    <row r="19" spans="1:15" ht="18" x14ac:dyDescent="0.35">
      <c r="A19" s="159"/>
      <c r="B19" s="30" t="s">
        <v>33</v>
      </c>
      <c r="C19" s="20" t="s">
        <v>23</v>
      </c>
      <c r="D19" s="20">
        <f>INDEX(Emitters!C2:C13,MATCH('General Design Equation'!C18,Emitters!B2:B13,0))</f>
        <v>230</v>
      </c>
      <c r="E19" s="21" t="s">
        <v>24</v>
      </c>
    </row>
    <row r="20" spans="1:15" ht="18" x14ac:dyDescent="0.35">
      <c r="A20" s="159"/>
      <c r="B20" s="30" t="s">
        <v>34</v>
      </c>
      <c r="C20" s="20" t="s">
        <v>35</v>
      </c>
      <c r="D20" s="20">
        <f>INDEX(Emitters!E2:E13,MATCH('General Design Equation'!C18,Emitters!B2:B13,0))</f>
        <v>0.26</v>
      </c>
      <c r="E20" s="21" t="s">
        <v>36</v>
      </c>
    </row>
    <row r="21" spans="1:15" ht="18.75" thickBot="1" x14ac:dyDescent="0.4">
      <c r="A21" s="160"/>
      <c r="B21" s="56" t="s">
        <v>72</v>
      </c>
      <c r="C21" s="16" t="s">
        <v>73</v>
      </c>
      <c r="D21" s="59">
        <v>0.375</v>
      </c>
      <c r="E21" s="17"/>
    </row>
    <row r="22" spans="1:15" ht="15.75" thickBot="1" x14ac:dyDescent="0.3">
      <c r="A22" s="57"/>
      <c r="D22" s="24"/>
    </row>
    <row r="23" spans="1:15" ht="16.5" customHeight="1" x14ac:dyDescent="0.35">
      <c r="A23" s="158" t="s">
        <v>86</v>
      </c>
      <c r="B23" s="53" t="s">
        <v>46</v>
      </c>
      <c r="C23" s="12" t="s">
        <v>45</v>
      </c>
      <c r="D23" s="11">
        <v>1.2</v>
      </c>
      <c r="E23" s="13"/>
    </row>
    <row r="24" spans="1:15" ht="18.75" thickBot="1" x14ac:dyDescent="0.4">
      <c r="A24" s="159"/>
      <c r="B24" s="103" t="s">
        <v>61</v>
      </c>
      <c r="C24" s="104" t="s">
        <v>48</v>
      </c>
      <c r="D24" s="105">
        <v>0</v>
      </c>
      <c r="E24" s="106" t="s">
        <v>49</v>
      </c>
    </row>
    <row r="25" spans="1:15" ht="15" customHeight="1" x14ac:dyDescent="0.25">
      <c r="A25" s="159"/>
      <c r="B25" s="54" t="s">
        <v>68</v>
      </c>
      <c r="C25" s="14"/>
      <c r="D25" s="8" t="s">
        <v>63</v>
      </c>
      <c r="E25" s="15"/>
      <c r="G25" s="139" t="s">
        <v>142</v>
      </c>
      <c r="H25" s="164"/>
      <c r="I25" s="164"/>
      <c r="J25" s="165"/>
    </row>
    <row r="26" spans="1:15" ht="18" customHeight="1" x14ac:dyDescent="0.35">
      <c r="A26" s="159"/>
      <c r="B26" s="54" t="s">
        <v>134</v>
      </c>
      <c r="C26" s="14" t="s">
        <v>50</v>
      </c>
      <c r="D26" s="8">
        <v>2640</v>
      </c>
      <c r="E26" s="15" t="s">
        <v>51</v>
      </c>
      <c r="G26" s="140"/>
      <c r="H26" s="166"/>
      <c r="I26" s="166"/>
      <c r="J26" s="167"/>
    </row>
    <row r="27" spans="1:15" ht="18.75" thickBot="1" x14ac:dyDescent="0.4">
      <c r="A27" s="159"/>
      <c r="B27" s="30" t="s">
        <v>143</v>
      </c>
      <c r="C27" s="20" t="s">
        <v>145</v>
      </c>
      <c r="D27" s="20">
        <f>IF(D25="80L",VLOOKUP(D26,'Cylinder Characteristic'!A3:E16,2,FALSE),VLOOKUP(D26,'Cylinder Characteristic'!A3:E16,4,FALSE))</f>
        <v>439</v>
      </c>
      <c r="E27" s="21" t="s">
        <v>30</v>
      </c>
      <c r="G27" s="141"/>
      <c r="H27" s="168"/>
      <c r="I27" s="168"/>
      <c r="J27" s="169"/>
    </row>
    <row r="28" spans="1:15" ht="18.75" thickBot="1" x14ac:dyDescent="0.4">
      <c r="A28" s="159"/>
      <c r="B28" s="30" t="s">
        <v>144</v>
      </c>
      <c r="C28" s="20" t="s">
        <v>13</v>
      </c>
      <c r="D28" s="20">
        <f>IF(D25="80L",VLOOKUP(D26,'Cylinder Characteristic'!A3:E16,3,FALSE),VLOOKUP(D26,'Cylinder Characteristic'!A3:E16,5,FALSE))</f>
        <v>490</v>
      </c>
      <c r="E28" s="21" t="s">
        <v>30</v>
      </c>
    </row>
    <row r="29" spans="1:15" ht="18" x14ac:dyDescent="0.35">
      <c r="A29" s="159"/>
      <c r="B29" s="103" t="s">
        <v>70</v>
      </c>
      <c r="C29" s="104" t="s">
        <v>52</v>
      </c>
      <c r="D29" s="105">
        <v>0</v>
      </c>
      <c r="E29" s="106" t="s">
        <v>49</v>
      </c>
      <c r="K29" s="87"/>
      <c r="L29" s="26"/>
      <c r="M29" s="26"/>
      <c r="N29" s="26"/>
      <c r="O29" s="92"/>
    </row>
    <row r="30" spans="1:15" ht="18" x14ac:dyDescent="0.35">
      <c r="A30" s="159"/>
      <c r="B30" s="103" t="s">
        <v>39</v>
      </c>
      <c r="C30" s="104" t="s">
        <v>40</v>
      </c>
      <c r="D30" s="105">
        <v>0</v>
      </c>
      <c r="E30" s="106" t="s">
        <v>38</v>
      </c>
      <c r="K30" s="88"/>
      <c r="O30" s="93"/>
    </row>
    <row r="31" spans="1:15" ht="18.75" thickBot="1" x14ac:dyDescent="0.4">
      <c r="A31" s="160"/>
      <c r="B31" s="56" t="s">
        <v>43</v>
      </c>
      <c r="C31" s="16" t="s">
        <v>44</v>
      </c>
      <c r="D31" s="10">
        <v>1.2</v>
      </c>
      <c r="E31" s="17"/>
      <c r="K31" s="88"/>
      <c r="O31" s="93"/>
    </row>
    <row r="32" spans="1:15" x14ac:dyDescent="0.25">
      <c r="K32" s="88"/>
      <c r="O32" s="93"/>
    </row>
    <row r="33" spans="1:15" x14ac:dyDescent="0.25">
      <c r="K33" s="88"/>
      <c r="L33" s="89" t="s">
        <v>110</v>
      </c>
      <c r="M33" s="89"/>
      <c r="N33" s="89"/>
      <c r="O33" s="93"/>
    </row>
    <row r="34" spans="1:15" ht="12.75" customHeight="1" thickBot="1" x14ac:dyDescent="0.4">
      <c r="B34" s="27" t="s">
        <v>4</v>
      </c>
      <c r="C34" s="27" t="s">
        <v>5</v>
      </c>
      <c r="D34" s="27">
        <f>(D13-32)/1.8</f>
        <v>21.111111111111111</v>
      </c>
      <c r="E34" s="27" t="s">
        <v>108</v>
      </c>
      <c r="K34" s="88"/>
      <c r="O34" s="93"/>
    </row>
    <row r="35" spans="1:15" ht="18" hidden="1" x14ac:dyDescent="0.35">
      <c r="B35" s="27" t="s">
        <v>96</v>
      </c>
      <c r="C35" s="27" t="s">
        <v>77</v>
      </c>
      <c r="D35" s="27">
        <f>(D14-32)/1.8</f>
        <v>21.111111111111111</v>
      </c>
      <c r="E35" s="27" t="s">
        <v>108</v>
      </c>
      <c r="K35" s="88"/>
      <c r="O35" s="93"/>
    </row>
    <row r="36" spans="1:15" ht="18" hidden="1" x14ac:dyDescent="0.35">
      <c r="B36" s="27" t="s">
        <v>6</v>
      </c>
      <c r="C36" s="27" t="s">
        <v>7</v>
      </c>
      <c r="D36" s="27">
        <f>(D15-32)/1.8</f>
        <v>21.111111111111111</v>
      </c>
      <c r="E36" s="27" t="s">
        <v>108</v>
      </c>
      <c r="K36" s="88"/>
      <c r="O36" s="93"/>
    </row>
    <row r="37" spans="1:15" hidden="1" x14ac:dyDescent="0.25">
      <c r="B37" s="58"/>
      <c r="C37" s="58"/>
      <c r="D37" s="58"/>
      <c r="E37" s="58"/>
      <c r="K37" s="88"/>
      <c r="O37" s="93"/>
    </row>
    <row r="38" spans="1:15" hidden="1" x14ac:dyDescent="0.25">
      <c r="B38" s="58"/>
      <c r="C38" s="58"/>
      <c r="D38" s="58"/>
      <c r="E38" s="58"/>
      <c r="K38" s="88"/>
      <c r="O38" s="93"/>
    </row>
    <row r="39" spans="1:15" ht="15.75" hidden="1" thickBot="1" x14ac:dyDescent="0.3">
      <c r="K39" s="90"/>
      <c r="L39" s="91"/>
      <c r="M39" s="91"/>
      <c r="N39" s="91"/>
      <c r="O39" s="94"/>
    </row>
    <row r="40" spans="1:15" ht="15.6" customHeight="1" x14ac:dyDescent="0.35">
      <c r="A40" s="158" t="s">
        <v>47</v>
      </c>
      <c r="B40" s="28" t="s">
        <v>14</v>
      </c>
      <c r="C40" s="18" t="s">
        <v>15</v>
      </c>
      <c r="D40" s="29">
        <f>D21*(294.4/(273+D34))*D10*D12*D23</f>
        <v>810.79561768039264</v>
      </c>
      <c r="E40" s="19" t="s">
        <v>30</v>
      </c>
      <c r="K40" s="158" t="s">
        <v>98</v>
      </c>
      <c r="L40" s="77" t="s">
        <v>16</v>
      </c>
      <c r="M40" s="78" t="s">
        <v>17</v>
      </c>
      <c r="N40" s="79">
        <v>4</v>
      </c>
      <c r="O40" s="80" t="s">
        <v>29</v>
      </c>
    </row>
    <row r="41" spans="1:15" ht="15.75" thickBot="1" x14ac:dyDescent="0.3">
      <c r="A41" s="159"/>
      <c r="B41" s="30"/>
      <c r="C41" s="20"/>
      <c r="D41" s="31"/>
      <c r="E41" s="21"/>
      <c r="K41" s="159"/>
      <c r="L41" s="81" t="s">
        <v>68</v>
      </c>
      <c r="M41" s="82"/>
      <c r="N41" s="83" t="s">
        <v>69</v>
      </c>
      <c r="O41" s="84"/>
    </row>
    <row r="42" spans="1:15" ht="18.75" thickBot="1" x14ac:dyDescent="0.4">
      <c r="A42" s="159"/>
      <c r="B42" s="66" t="s">
        <v>16</v>
      </c>
      <c r="C42" s="67" t="s">
        <v>17</v>
      </c>
      <c r="D42" s="67">
        <f>ROUNDUP((D40+(D24*(75+14.7*D12)/(14.7*D12))+(D29*(18+14.7*D12)/(14.7*D12)))/D27,0)</f>
        <v>2</v>
      </c>
      <c r="E42" s="68" t="s">
        <v>29</v>
      </c>
      <c r="F42" s="147" t="s">
        <v>87</v>
      </c>
      <c r="G42" s="148"/>
      <c r="H42" s="149"/>
      <c r="I42" s="97"/>
      <c r="K42" s="159"/>
      <c r="L42" s="85" t="s">
        <v>134</v>
      </c>
      <c r="M42" s="85" t="s">
        <v>50</v>
      </c>
      <c r="N42" s="83">
        <v>2400</v>
      </c>
      <c r="O42" s="84" t="s">
        <v>51</v>
      </c>
    </row>
    <row r="43" spans="1:15" x14ac:dyDescent="0.25">
      <c r="A43" s="159"/>
      <c r="B43" s="66" t="s">
        <v>68</v>
      </c>
      <c r="C43" s="67"/>
      <c r="D43" s="67" t="str">
        <f>D25</f>
        <v>80L</v>
      </c>
      <c r="E43" s="68"/>
      <c r="F43" s="155"/>
      <c r="G43" s="156"/>
      <c r="H43" s="157"/>
      <c r="I43" s="97"/>
      <c r="K43" s="159"/>
      <c r="L43" s="30"/>
      <c r="M43" s="20"/>
      <c r="N43" s="20"/>
      <c r="O43" s="21"/>
    </row>
    <row r="44" spans="1:15" ht="18.75" thickBot="1" x14ac:dyDescent="0.4">
      <c r="A44" s="159"/>
      <c r="B44" s="66" t="s">
        <v>134</v>
      </c>
      <c r="C44" s="67" t="s">
        <v>50</v>
      </c>
      <c r="D44" s="67">
        <f>D26</f>
        <v>2640</v>
      </c>
      <c r="E44" s="68" t="s">
        <v>51</v>
      </c>
      <c r="F44" s="150"/>
      <c r="G44" s="151"/>
      <c r="H44" s="152"/>
      <c r="I44" s="97"/>
      <c r="K44" s="159"/>
      <c r="L44" s="30" t="s">
        <v>143</v>
      </c>
      <c r="M44" s="20" t="s">
        <v>145</v>
      </c>
      <c r="N44" s="20">
        <f>IF(N41="80L",VLOOKUP(N42,'Cylinder Characteristic'!A3:E16,2,FALSE),VLOOKUP(N42,'Cylinder Characteristic'!A3:E16,4,FALSE))</f>
        <v>244</v>
      </c>
      <c r="O44" s="21" t="s">
        <v>30</v>
      </c>
    </row>
    <row r="45" spans="1:15" ht="18" x14ac:dyDescent="0.35">
      <c r="A45" s="159"/>
      <c r="B45" s="30" t="s">
        <v>19</v>
      </c>
      <c r="C45" s="20" t="s">
        <v>18</v>
      </c>
      <c r="D45" s="31">
        <f>D40/D17</f>
        <v>270.26520589346421</v>
      </c>
      <c r="E45" s="21" t="s">
        <v>24</v>
      </c>
      <c r="K45" s="159"/>
      <c r="L45" s="30" t="s">
        <v>144</v>
      </c>
      <c r="M45" s="20" t="s">
        <v>13</v>
      </c>
      <c r="N45" s="20">
        <f>IF(N41="80L",VLOOKUP(N42,'Cylinder Characteristic'!A3:E16,3,FALSE),VLOOKUP(N42,'Cylinder Characteristic'!A3:E16,5,FALSE))</f>
        <v>275</v>
      </c>
      <c r="O45" s="21" t="s">
        <v>30</v>
      </c>
    </row>
    <row r="46" spans="1:15" ht="15.75" thickBot="1" x14ac:dyDescent="0.3">
      <c r="A46" s="159"/>
      <c r="B46" s="30"/>
      <c r="C46" s="20"/>
      <c r="D46" s="31"/>
      <c r="E46" s="21"/>
      <c r="K46" s="159"/>
      <c r="L46" s="30"/>
      <c r="M46" s="20"/>
      <c r="N46" s="20"/>
      <c r="O46" s="21"/>
    </row>
    <row r="47" spans="1:15" ht="18" x14ac:dyDescent="0.35">
      <c r="A47" s="159"/>
      <c r="B47" s="102" t="s">
        <v>121</v>
      </c>
      <c r="C47" s="179" t="str">
        <f>C18</f>
        <v>(954) 5/8" @ 25 psi,   0.26 gpm</v>
      </c>
      <c r="D47" s="154"/>
      <c r="E47" s="180"/>
      <c r="F47" s="147" t="s">
        <v>88</v>
      </c>
      <c r="G47" s="148"/>
      <c r="H47" s="149"/>
      <c r="I47" s="97"/>
      <c r="K47" s="159"/>
      <c r="L47" s="81" t="s">
        <v>25</v>
      </c>
      <c r="M47" s="82" t="s">
        <v>26</v>
      </c>
      <c r="N47" s="83">
        <v>6</v>
      </c>
      <c r="O47" s="84" t="s">
        <v>28</v>
      </c>
    </row>
    <row r="48" spans="1:15" ht="18" x14ac:dyDescent="0.35">
      <c r="A48" s="159"/>
      <c r="B48" s="66" t="s">
        <v>25</v>
      </c>
      <c r="C48" s="67" t="s">
        <v>26</v>
      </c>
      <c r="D48" s="67">
        <f>ROUNDUP(D45/D19,0)</f>
        <v>2</v>
      </c>
      <c r="E48" s="68" t="s">
        <v>28</v>
      </c>
      <c r="F48" s="155"/>
      <c r="G48" s="156"/>
      <c r="H48" s="157"/>
      <c r="I48" s="97"/>
      <c r="K48" s="159"/>
      <c r="L48" s="81" t="s">
        <v>33</v>
      </c>
      <c r="M48" s="82" t="s">
        <v>23</v>
      </c>
      <c r="N48" s="83">
        <v>80</v>
      </c>
      <c r="O48" s="84" t="s">
        <v>24</v>
      </c>
    </row>
    <row r="49" spans="1:15" ht="18.75" thickBot="1" x14ac:dyDescent="0.4">
      <c r="A49" s="159"/>
      <c r="B49" s="66" t="s">
        <v>118</v>
      </c>
      <c r="C49" s="67" t="s">
        <v>119</v>
      </c>
      <c r="D49" s="67">
        <f>INDEX(Emitters!D2:D10,MATCH('General Design Equation'!C18,Emitters!B2:B10,0))</f>
        <v>25</v>
      </c>
      <c r="E49" s="68" t="s">
        <v>120</v>
      </c>
      <c r="F49" s="150"/>
      <c r="G49" s="151"/>
      <c r="H49" s="152"/>
      <c r="I49" s="97"/>
      <c r="K49" s="159"/>
      <c r="L49" s="30" t="s">
        <v>91</v>
      </c>
      <c r="M49" s="20"/>
      <c r="N49" s="20">
        <f>D20</f>
        <v>0.26</v>
      </c>
      <c r="O49" s="21" t="s">
        <v>36</v>
      </c>
    </row>
    <row r="50" spans="1:15" ht="15.75" thickBot="1" x14ac:dyDescent="0.3">
      <c r="A50" s="159"/>
      <c r="B50" s="30"/>
      <c r="C50" s="20"/>
      <c r="D50" s="20"/>
      <c r="E50" s="21"/>
      <c r="F50" s="63"/>
      <c r="G50" s="64"/>
      <c r="H50" s="64"/>
      <c r="I50" s="65"/>
      <c r="K50" s="159"/>
      <c r="L50" s="30"/>
      <c r="M50" s="20"/>
      <c r="N50" s="20"/>
      <c r="O50" s="21"/>
    </row>
    <row r="51" spans="1:15" ht="18" x14ac:dyDescent="0.35">
      <c r="A51" s="159"/>
      <c r="B51" s="32" t="s">
        <v>74</v>
      </c>
      <c r="C51" s="33" t="s">
        <v>27</v>
      </c>
      <c r="D51" s="34">
        <f>(D42*D27)/(D48*D19)</f>
        <v>1.9086956521739131</v>
      </c>
      <c r="E51" s="35" t="s">
        <v>22</v>
      </c>
      <c r="F51" s="147" t="s">
        <v>92</v>
      </c>
      <c r="G51" s="148"/>
      <c r="H51" s="149"/>
      <c r="I51" s="97"/>
      <c r="K51" s="159"/>
      <c r="L51" s="30" t="s">
        <v>74</v>
      </c>
      <c r="M51" s="20" t="s">
        <v>27</v>
      </c>
      <c r="N51" s="31">
        <f>(N40*N44)/(N47*N48)</f>
        <v>2.0333333333333332</v>
      </c>
      <c r="O51" s="21" t="s">
        <v>22</v>
      </c>
    </row>
    <row r="52" spans="1:15" ht="18" x14ac:dyDescent="0.35">
      <c r="A52" s="159"/>
      <c r="B52" s="32" t="s">
        <v>78</v>
      </c>
      <c r="C52" s="33" t="s">
        <v>104</v>
      </c>
      <c r="D52" s="34">
        <f>20.95*EXP(-(D42*D28*(273+D35))/(D10*D12*294.4))</f>
        <v>12.160931223348769</v>
      </c>
      <c r="E52" s="35" t="s">
        <v>31</v>
      </c>
      <c r="F52" s="155"/>
      <c r="G52" s="156"/>
      <c r="H52" s="157"/>
      <c r="I52" s="97"/>
      <c r="K52" s="159"/>
      <c r="L52" s="30" t="s">
        <v>101</v>
      </c>
      <c r="M52" s="20" t="s">
        <v>104</v>
      </c>
      <c r="N52" s="31">
        <f>20.95*EXP(-(N40*N45*(273+D35))/(D10*D12*294.4))</f>
        <v>11.377380372787776</v>
      </c>
      <c r="O52" s="21" t="s">
        <v>31</v>
      </c>
    </row>
    <row r="53" spans="1:15" ht="18.75" thickBot="1" x14ac:dyDescent="0.4">
      <c r="A53" s="159"/>
      <c r="B53" s="32" t="s">
        <v>75</v>
      </c>
      <c r="C53" s="33" t="s">
        <v>71</v>
      </c>
      <c r="D53" s="34">
        <f>20.95*EXP(-(D42*D28*(273+D36))/(D10*D12*294.4))</f>
        <v>12.160931223348769</v>
      </c>
      <c r="E53" s="35" t="s">
        <v>31</v>
      </c>
      <c r="F53" s="150"/>
      <c r="G53" s="151"/>
      <c r="H53" s="152"/>
      <c r="I53" s="97"/>
      <c r="K53" s="159"/>
      <c r="L53" s="30" t="s">
        <v>102</v>
      </c>
      <c r="M53" s="20" t="s">
        <v>71</v>
      </c>
      <c r="N53" s="31">
        <f>20.95*EXP(-(N40*N45*(273+D36))/(D10*D12*294.4))</f>
        <v>11.377380372787776</v>
      </c>
      <c r="O53" s="21" t="s">
        <v>31</v>
      </c>
    </row>
    <row r="54" spans="1:15" ht="18" x14ac:dyDescent="0.35">
      <c r="A54" s="159"/>
      <c r="B54" s="30" t="s">
        <v>32</v>
      </c>
      <c r="C54" s="20" t="s">
        <v>37</v>
      </c>
      <c r="D54" s="31">
        <f>D20*D48*D51</f>
        <v>0.99252173913043484</v>
      </c>
      <c r="E54" s="21" t="s">
        <v>38</v>
      </c>
      <c r="F54" s="63"/>
      <c r="G54" s="64"/>
      <c r="H54" s="64"/>
      <c r="I54" s="65"/>
      <c r="K54" s="159"/>
      <c r="L54" s="30" t="s">
        <v>103</v>
      </c>
      <c r="M54" s="20" t="s">
        <v>107</v>
      </c>
      <c r="N54" s="31">
        <f>20.95*EXP(-(N40*N45*(273+D34))/(D10*D12*294.4))</f>
        <v>11.377380372787776</v>
      </c>
      <c r="O54" s="21" t="s">
        <v>31</v>
      </c>
    </row>
    <row r="55" spans="1:15" ht="15.75" thickBot="1" x14ac:dyDescent="0.3">
      <c r="A55" s="159"/>
      <c r="B55" s="30"/>
      <c r="C55" s="20"/>
      <c r="D55" s="31"/>
      <c r="E55" s="21"/>
      <c r="F55" s="51"/>
      <c r="G55" s="51"/>
      <c r="H55" s="51"/>
      <c r="I55" s="51"/>
      <c r="K55" s="159"/>
      <c r="L55" s="30"/>
      <c r="M55" s="20"/>
      <c r="N55" s="31"/>
      <c r="O55" s="21"/>
    </row>
    <row r="56" spans="1:15" ht="18.75" thickBot="1" x14ac:dyDescent="0.4">
      <c r="A56" s="160"/>
      <c r="B56" s="69" t="s">
        <v>41</v>
      </c>
      <c r="C56" s="70" t="s">
        <v>42</v>
      </c>
      <c r="D56" s="71">
        <f>(D54+D30)*D31</f>
        <v>1.1910260869565217</v>
      </c>
      <c r="E56" s="72" t="s">
        <v>38</v>
      </c>
      <c r="F56" s="144" t="s">
        <v>82</v>
      </c>
      <c r="G56" s="145"/>
      <c r="H56" s="146"/>
      <c r="I56" s="86"/>
      <c r="K56" s="159"/>
      <c r="L56" s="30" t="s">
        <v>41</v>
      </c>
      <c r="M56" s="20" t="s">
        <v>37</v>
      </c>
      <c r="N56" s="31">
        <f>N51*N47*N49*D31</f>
        <v>3.8063999999999996</v>
      </c>
      <c r="O56" s="21" t="s">
        <v>38</v>
      </c>
    </row>
    <row r="57" spans="1:15" ht="15.75" thickBot="1" x14ac:dyDescent="0.3">
      <c r="K57" s="160"/>
      <c r="L57" s="36"/>
      <c r="M57" s="22"/>
      <c r="N57" s="37"/>
      <c r="O57" s="23"/>
    </row>
  </sheetData>
  <sheetProtection algorithmName="SHA-512" hashValue="163IxYz5WfeqrGFqDJV499zG8q3om80cqDF6K+jdJ0OSHSLql8VsatUViiTX3zxPQsz4/t856BwrCHUxp6tClw==" saltValue="Dlpy3QQgLiX4nZww0wci2Q==" spinCount="100000" sheet="1" objects="1" scenarios="1"/>
  <mergeCells count="13">
    <mergeCell ref="A40:A56"/>
    <mergeCell ref="A10:A15"/>
    <mergeCell ref="A17:A21"/>
    <mergeCell ref="A23:A31"/>
    <mergeCell ref="K40:K57"/>
    <mergeCell ref="B5:E5"/>
    <mergeCell ref="C18:E18"/>
    <mergeCell ref="C47:E47"/>
    <mergeCell ref="F56:H56"/>
    <mergeCell ref="F42:H44"/>
    <mergeCell ref="F51:H53"/>
    <mergeCell ref="F47:H49"/>
    <mergeCell ref="G25:J27"/>
  </mergeCells>
  <pageMargins left="0.7" right="0.7" top="0.75" bottom="0.75" header="0.3" footer="0.3"/>
  <pageSetup scale="47" fitToWidth="0" orientation="landscape"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1000000}">
          <x14:formula1>
            <xm:f>'Cylinder Characteristic'!$A$3:$A$13</xm:f>
          </x14:formula1>
          <xm:sqref>N42</xm:sqref>
        </x14:dataValidation>
        <x14:dataValidation type="list" allowBlank="1" showInputMessage="1" showErrorMessage="1" xr:uid="{00000000-0002-0000-0300-000002000000}">
          <x14:formula1>
            <xm:f>'Cylinder Characteristic'!$F$5:$F$6</xm:f>
          </x14:formula1>
          <xm:sqref>D25 N41</xm:sqref>
        </x14:dataValidation>
        <x14:dataValidation type="list" allowBlank="1" showInputMessage="1" showErrorMessage="1" xr:uid="{00000000-0002-0000-0300-000004000000}">
          <x14:formula1>
            <xm:f>'Cylinder Characteristic'!$A$3:$A$16</xm:f>
          </x14:formula1>
          <xm:sqref>D26</xm:sqref>
        </x14:dataValidation>
        <x14:dataValidation type="list" allowBlank="1" showInputMessage="1" showErrorMessage="1" xr:uid="{00000000-0002-0000-0300-000000000000}">
          <x14:formula1>
            <xm:f>ACF!$A$2:$A$15</xm:f>
          </x14:formula1>
          <xm:sqref>D11</xm:sqref>
        </x14:dataValidation>
        <x14:dataValidation type="list" allowBlank="1" showInputMessage="1" showErrorMessage="1" xr:uid="{00000000-0002-0000-0300-000003000000}">
          <x14:formula1>
            <xm:f>Emitters!$B$2:$B$13</xm:f>
          </x14:formula1>
          <xm:sqref>C18:E18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J34"/>
  <sheetViews>
    <sheetView showGridLines="0" tabSelected="1" topLeftCell="B2" zoomScale="80" zoomScaleNormal="80" workbookViewId="0">
      <selection activeCell="D9" sqref="D9"/>
    </sheetView>
  </sheetViews>
  <sheetFormatPr defaultRowHeight="15" x14ac:dyDescent="0.25"/>
  <cols>
    <col min="1" max="1" width="13.7109375" style="1" customWidth="1"/>
    <col min="2" max="2" width="38" customWidth="1"/>
    <col min="3" max="3" width="14.5703125" customWidth="1"/>
    <col min="4" max="4" width="13.28515625" customWidth="1"/>
    <col min="6" max="6" width="13" customWidth="1"/>
    <col min="7" max="7" width="10.140625" customWidth="1"/>
    <col min="10" max="10" width="23.28515625" customWidth="1"/>
    <col min="11" max="11" width="4.7109375" customWidth="1"/>
    <col min="12" max="12" width="11.28515625" customWidth="1"/>
    <col min="13" max="13" width="10.42578125" customWidth="1"/>
    <col min="14" max="14" width="3.5703125" customWidth="1"/>
  </cols>
  <sheetData>
    <row r="1" spans="1:10" s="60" customFormat="1" ht="59.45" customHeight="1" x14ac:dyDescent="0.25">
      <c r="A1" s="61"/>
      <c r="B1" s="60" t="s">
        <v>95</v>
      </c>
      <c r="F1" s="60">
        <f>Information!D2</f>
        <v>2.4</v>
      </c>
    </row>
    <row r="2" spans="1:10" s="60" customFormat="1" ht="16.899999999999999" customHeight="1" x14ac:dyDescent="0.25">
      <c r="A2" s="61"/>
    </row>
    <row r="3" spans="1:10" x14ac:dyDescent="0.25">
      <c r="B3" t="s">
        <v>176</v>
      </c>
    </row>
    <row r="5" spans="1:10" x14ac:dyDescent="0.25">
      <c r="B5" s="50" t="s">
        <v>126</v>
      </c>
      <c r="C5" s="50"/>
    </row>
    <row r="7" spans="1:10" ht="15.75" thickBot="1" x14ac:dyDescent="0.3"/>
    <row r="8" spans="1:10" ht="18" thickBot="1" x14ac:dyDescent="0.3">
      <c r="A8" s="181" t="s">
        <v>83</v>
      </c>
      <c r="B8" s="53" t="s">
        <v>0</v>
      </c>
      <c r="C8" s="12" t="s">
        <v>1</v>
      </c>
      <c r="D8" s="11">
        <v>52352</v>
      </c>
      <c r="E8" s="13" t="s">
        <v>10</v>
      </c>
    </row>
    <row r="9" spans="1:10" ht="15" customHeight="1" thickBot="1" x14ac:dyDescent="0.3">
      <c r="A9" s="182"/>
      <c r="B9" s="54" t="s">
        <v>68</v>
      </c>
      <c r="C9" s="14"/>
      <c r="D9" s="8" t="s">
        <v>63</v>
      </c>
      <c r="E9" s="15"/>
      <c r="F9" s="191" t="s">
        <v>138</v>
      </c>
      <c r="G9" s="192"/>
      <c r="H9" s="192"/>
      <c r="I9" s="192"/>
      <c r="J9" s="193"/>
    </row>
    <row r="10" spans="1:10" ht="17.45" customHeight="1" x14ac:dyDescent="0.35">
      <c r="A10" s="182"/>
      <c r="B10" s="54" t="s">
        <v>134</v>
      </c>
      <c r="C10" s="14" t="s">
        <v>50</v>
      </c>
      <c r="D10" s="8">
        <v>3000</v>
      </c>
      <c r="E10" s="15" t="s">
        <v>51</v>
      </c>
      <c r="F10" s="57"/>
      <c r="G10" s="194" t="s">
        <v>142</v>
      </c>
      <c r="H10" s="195"/>
      <c r="I10" s="195"/>
      <c r="J10" s="196"/>
    </row>
    <row r="11" spans="1:10" ht="16.149999999999999" customHeight="1" thickBot="1" x14ac:dyDescent="0.4">
      <c r="A11" s="183"/>
      <c r="B11" s="56" t="s">
        <v>131</v>
      </c>
      <c r="C11" s="16" t="s">
        <v>132</v>
      </c>
      <c r="D11" s="10">
        <v>0</v>
      </c>
      <c r="E11" s="17" t="s">
        <v>22</v>
      </c>
      <c r="G11" s="197"/>
      <c r="H11" s="198"/>
      <c r="I11" s="198"/>
      <c r="J11" s="199"/>
    </row>
    <row r="12" spans="1:10" ht="15.75" thickBot="1" x14ac:dyDescent="0.3"/>
    <row r="13" spans="1:10" ht="15.6" customHeight="1" x14ac:dyDescent="0.35">
      <c r="A13" s="184" t="s">
        <v>85</v>
      </c>
      <c r="B13" s="118" t="s">
        <v>133</v>
      </c>
      <c r="C13" s="73" t="s">
        <v>21</v>
      </c>
      <c r="D13" s="73">
        <f>10+D11</f>
        <v>10</v>
      </c>
      <c r="E13" s="74" t="s">
        <v>22</v>
      </c>
    </row>
    <row r="14" spans="1:10" ht="18" x14ac:dyDescent="0.35">
      <c r="A14" s="185"/>
      <c r="B14" s="119" t="s">
        <v>178</v>
      </c>
      <c r="C14" s="75" t="s">
        <v>23</v>
      </c>
      <c r="D14" s="75">
        <v>150</v>
      </c>
      <c r="E14" s="76" t="s">
        <v>24</v>
      </c>
    </row>
    <row r="15" spans="1:10" ht="18.75" thickBot="1" x14ac:dyDescent="0.4">
      <c r="A15" s="186"/>
      <c r="B15" s="120" t="s">
        <v>34</v>
      </c>
      <c r="C15" s="121" t="s">
        <v>35</v>
      </c>
      <c r="D15" s="121">
        <v>1.06</v>
      </c>
      <c r="E15" s="122" t="s">
        <v>36</v>
      </c>
    </row>
    <row r="16" spans="1:10" ht="15.75" thickBot="1" x14ac:dyDescent="0.3">
      <c r="D16" s="24"/>
    </row>
    <row r="17" spans="1:8" ht="22.15" customHeight="1" x14ac:dyDescent="0.35">
      <c r="A17" s="187" t="s">
        <v>109</v>
      </c>
      <c r="B17" s="116" t="s">
        <v>179</v>
      </c>
      <c r="C17" s="38" t="s">
        <v>13</v>
      </c>
      <c r="D17" s="38">
        <f>IF(D9="80L",VLOOKUP(D10,'Cylinder Characteristic'!A5:G16,7,FALSE),"N/A")</f>
        <v>534</v>
      </c>
      <c r="E17" s="39" t="s">
        <v>30</v>
      </c>
    </row>
    <row r="18" spans="1:8" ht="22.15" customHeight="1" thickBot="1" x14ac:dyDescent="0.4">
      <c r="A18" s="188"/>
      <c r="B18" s="117" t="s">
        <v>43</v>
      </c>
      <c r="C18" s="42" t="s">
        <v>44</v>
      </c>
      <c r="D18" s="42">
        <v>1.25</v>
      </c>
      <c r="E18" s="43"/>
    </row>
    <row r="21" spans="1:8" ht="18" hidden="1" x14ac:dyDescent="0.35">
      <c r="B21" s="27" t="s">
        <v>93</v>
      </c>
      <c r="C21" s="27" t="s">
        <v>77</v>
      </c>
      <c r="D21" s="27" t="e">
        <f>(#REF!-32)/1.8</f>
        <v>#REF!</v>
      </c>
      <c r="E21" s="27" t="s">
        <v>60</v>
      </c>
    </row>
    <row r="22" spans="1:8" ht="15.75" thickBot="1" x14ac:dyDescent="0.3"/>
    <row r="23" spans="1:8" ht="18" x14ac:dyDescent="0.35">
      <c r="A23" s="139" t="s">
        <v>47</v>
      </c>
      <c r="B23" s="112" t="s">
        <v>25</v>
      </c>
      <c r="C23" s="113" t="s">
        <v>26</v>
      </c>
      <c r="D23" s="113">
        <f>ROUNDUP(+IF(D8&lt;19423,D8/2295,IF(D8&lt;127132,D8/2592*1.2,0)),0)</f>
        <v>25</v>
      </c>
      <c r="E23" s="114" t="s">
        <v>28</v>
      </c>
      <c r="F23" s="148" t="s">
        <v>88</v>
      </c>
      <c r="G23" s="148"/>
      <c r="H23" s="149"/>
    </row>
    <row r="24" spans="1:8" x14ac:dyDescent="0.25">
      <c r="A24" s="140"/>
      <c r="B24" s="66" t="s">
        <v>89</v>
      </c>
      <c r="C24" s="67"/>
      <c r="D24" s="189" t="s">
        <v>94</v>
      </c>
      <c r="E24" s="190"/>
      <c r="F24" s="156"/>
      <c r="G24" s="156"/>
      <c r="H24" s="157"/>
    </row>
    <row r="25" spans="1:8" ht="15.75" thickBot="1" x14ac:dyDescent="0.3">
      <c r="A25" s="140"/>
      <c r="B25" s="66" t="s">
        <v>91</v>
      </c>
      <c r="C25" s="67"/>
      <c r="D25" s="67">
        <f>D15</f>
        <v>1.06</v>
      </c>
      <c r="E25" s="68" t="str">
        <f>E15</f>
        <v>gpm</v>
      </c>
      <c r="F25" s="151"/>
      <c r="G25" s="151"/>
      <c r="H25" s="152"/>
    </row>
    <row r="26" spans="1:8" ht="18" x14ac:dyDescent="0.35">
      <c r="A26" s="140"/>
      <c r="B26" s="66" t="s">
        <v>19</v>
      </c>
      <c r="C26" s="67" t="s">
        <v>18</v>
      </c>
      <c r="D26" s="67">
        <f>D23*D14</f>
        <v>3750</v>
      </c>
      <c r="E26" s="68" t="s">
        <v>24</v>
      </c>
      <c r="F26" s="97"/>
      <c r="G26" s="97"/>
      <c r="H26" s="97"/>
    </row>
    <row r="27" spans="1:8" ht="15.75" thickBot="1" x14ac:dyDescent="0.3">
      <c r="A27" s="140"/>
      <c r="B27" s="30"/>
      <c r="C27" s="20"/>
      <c r="D27" s="31"/>
      <c r="E27" s="21"/>
    </row>
    <row r="28" spans="1:8" ht="18" x14ac:dyDescent="0.35">
      <c r="A28" s="140"/>
      <c r="B28" s="66" t="s">
        <v>16</v>
      </c>
      <c r="C28" s="67" t="s">
        <v>17</v>
      </c>
      <c r="D28" s="67">
        <f>IF(D9&lt;&gt;"Bulk Storage",ROUNDUP(D23*D14*D13/D17,0),"N/A")</f>
        <v>71</v>
      </c>
      <c r="E28" s="68" t="s">
        <v>29</v>
      </c>
      <c r="F28" s="148" t="s">
        <v>87</v>
      </c>
      <c r="G28" s="148"/>
      <c r="H28" s="149"/>
    </row>
    <row r="29" spans="1:8" ht="15.75" thickBot="1" x14ac:dyDescent="0.3">
      <c r="A29" s="140"/>
      <c r="B29" s="66" t="s">
        <v>68</v>
      </c>
      <c r="C29" s="67"/>
      <c r="D29" s="67" t="str">
        <f>D9</f>
        <v>80L</v>
      </c>
      <c r="E29" s="68"/>
      <c r="F29" s="151"/>
      <c r="G29" s="151"/>
      <c r="H29" s="152"/>
    </row>
    <row r="30" spans="1:8" ht="15.75" thickBot="1" x14ac:dyDescent="0.3">
      <c r="A30" s="140"/>
      <c r="B30" s="30"/>
      <c r="C30" s="20"/>
      <c r="D30" s="20"/>
      <c r="E30" s="21"/>
      <c r="F30" s="97"/>
      <c r="G30" s="97"/>
      <c r="H30" s="97"/>
    </row>
    <row r="31" spans="1:8" ht="18.75" thickBot="1" x14ac:dyDescent="0.4">
      <c r="A31" s="140"/>
      <c r="B31" s="66" t="s">
        <v>141</v>
      </c>
      <c r="C31" s="67" t="s">
        <v>42</v>
      </c>
      <c r="D31" s="67">
        <f>D23*D14*D13</f>
        <v>37500</v>
      </c>
      <c r="E31" s="68" t="s">
        <v>135</v>
      </c>
      <c r="F31" s="145" t="s">
        <v>137</v>
      </c>
      <c r="G31" s="145"/>
      <c r="H31" s="146"/>
    </row>
    <row r="32" spans="1:8" ht="15.75" thickBot="1" x14ac:dyDescent="0.3">
      <c r="A32" s="140"/>
      <c r="B32" s="30"/>
      <c r="C32" s="20"/>
      <c r="D32" s="31"/>
      <c r="E32" s="21"/>
    </row>
    <row r="33" spans="1:8" ht="18.75" thickBot="1" x14ac:dyDescent="0.4">
      <c r="A33" s="140"/>
      <c r="B33" s="66" t="s">
        <v>32</v>
      </c>
      <c r="C33" s="67" t="s">
        <v>37</v>
      </c>
      <c r="D33" s="96">
        <f>D15*D13*D23*D18</f>
        <v>331.25000000000006</v>
      </c>
      <c r="E33" s="68" t="s">
        <v>38</v>
      </c>
      <c r="F33" s="145" t="s">
        <v>82</v>
      </c>
      <c r="G33" s="145"/>
      <c r="H33" s="146"/>
    </row>
    <row r="34" spans="1:8" ht="15.75" thickBot="1" x14ac:dyDescent="0.3">
      <c r="A34" s="141"/>
      <c r="B34" s="36"/>
      <c r="C34" s="22"/>
      <c r="D34" s="37"/>
      <c r="E34" s="23"/>
    </row>
  </sheetData>
  <mergeCells count="11">
    <mergeCell ref="A8:A11"/>
    <mergeCell ref="F31:H31"/>
    <mergeCell ref="A13:A15"/>
    <mergeCell ref="A17:A18"/>
    <mergeCell ref="A23:A34"/>
    <mergeCell ref="F28:H29"/>
    <mergeCell ref="F23:H25"/>
    <mergeCell ref="F33:H33"/>
    <mergeCell ref="D24:E24"/>
    <mergeCell ref="F9:J9"/>
    <mergeCell ref="G10:J11"/>
  </mergeCells>
  <pageMargins left="0.7" right="0.7" top="0.75" bottom="0.75" header="0.3" footer="0.3"/>
  <pageSetup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0000000}">
          <x14:formula1>
            <xm:f>'Cylinder Characteristic'!$F$6:$F$7</xm:f>
          </x14:formula1>
          <xm:sqref>D9</xm:sqref>
        </x14:dataValidation>
        <x14:dataValidation type="list" allowBlank="1" showInputMessage="1" showErrorMessage="1" xr:uid="{00000000-0002-0000-0400-000001000000}">
          <x14:formula1>
            <xm:f>'Cylinder Characteristic'!$A$3:$A$13</xm:f>
          </x14:formula1>
          <xm:sqref>D10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
  <sheetViews>
    <sheetView showGridLines="0" zoomScale="80" zoomScaleNormal="80" workbookViewId="0">
      <selection activeCell="V40" sqref="V40"/>
    </sheetView>
  </sheetViews>
  <sheetFormatPr defaultRowHeight="15" x14ac:dyDescent="0.25"/>
  <sheetData/>
  <sheetProtection algorithmName="SHA-512" hashValue="vop8hT7jHPRd6n0z991Dk85rwut0/AzR3xb0qZvLSqTxyv0ZaDYC1Zqvdejy4bO4+FqJqNztWyUFHIeGvVgu6g==" saltValue="iRPsh7D8qKDTDncEFeHpmw==" spinCount="100000" sheet="1" objects="1" scenarios="1"/>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2:G16"/>
  <sheetViews>
    <sheetView workbookViewId="0">
      <selection activeCell="N29" sqref="N29"/>
    </sheetView>
  </sheetViews>
  <sheetFormatPr defaultRowHeight="15" x14ac:dyDescent="0.25"/>
  <sheetData>
    <row r="2" spans="1:7" x14ac:dyDescent="0.25">
      <c r="A2" t="s">
        <v>62</v>
      </c>
      <c r="B2" t="s">
        <v>64</v>
      </c>
      <c r="C2" t="s">
        <v>65</v>
      </c>
      <c r="D2" t="s">
        <v>66</v>
      </c>
      <c r="E2" t="s">
        <v>67</v>
      </c>
      <c r="G2" t="s">
        <v>177</v>
      </c>
    </row>
    <row r="3" spans="1:7" x14ac:dyDescent="0.25">
      <c r="A3">
        <v>2100</v>
      </c>
      <c r="B3">
        <f>C3-51</f>
        <v>348</v>
      </c>
      <c r="C3">
        <v>399</v>
      </c>
      <c r="D3">
        <f>E3-31</f>
        <v>212</v>
      </c>
      <c r="E3">
        <v>243</v>
      </c>
      <c r="G3">
        <v>384</v>
      </c>
    </row>
    <row r="4" spans="1:7" x14ac:dyDescent="0.25">
      <c r="A4">
        <v>2200</v>
      </c>
      <c r="B4">
        <f t="shared" ref="B4:B16" si="0">C4-51</f>
        <v>367</v>
      </c>
      <c r="C4">
        <v>418</v>
      </c>
      <c r="D4">
        <f t="shared" ref="D4:D9" si="1">E4-31</f>
        <v>224</v>
      </c>
      <c r="E4">
        <v>255</v>
      </c>
      <c r="G4">
        <v>403</v>
      </c>
    </row>
    <row r="5" spans="1:7" x14ac:dyDescent="0.25">
      <c r="A5">
        <v>2300</v>
      </c>
      <c r="B5">
        <f t="shared" si="0"/>
        <v>381</v>
      </c>
      <c r="C5">
        <v>432</v>
      </c>
      <c r="D5">
        <f t="shared" si="1"/>
        <v>232</v>
      </c>
      <c r="E5">
        <v>263</v>
      </c>
      <c r="F5" t="s">
        <v>69</v>
      </c>
      <c r="G5">
        <v>418</v>
      </c>
    </row>
    <row r="6" spans="1:7" x14ac:dyDescent="0.25">
      <c r="A6">
        <v>2400</v>
      </c>
      <c r="B6">
        <f t="shared" si="0"/>
        <v>400</v>
      </c>
      <c r="C6">
        <v>451</v>
      </c>
      <c r="D6">
        <f t="shared" si="1"/>
        <v>244</v>
      </c>
      <c r="E6">
        <v>275</v>
      </c>
      <c r="F6" t="s">
        <v>63</v>
      </c>
      <c r="G6">
        <v>436</v>
      </c>
    </row>
    <row r="7" spans="1:7" x14ac:dyDescent="0.25">
      <c r="A7">
        <v>2500</v>
      </c>
      <c r="B7">
        <f t="shared" si="0"/>
        <v>413</v>
      </c>
      <c r="C7">
        <v>464</v>
      </c>
      <c r="D7">
        <f t="shared" si="1"/>
        <v>252</v>
      </c>
      <c r="E7">
        <v>283</v>
      </c>
      <c r="F7" t="s">
        <v>136</v>
      </c>
      <c r="G7">
        <v>449</v>
      </c>
    </row>
    <row r="8" spans="1:7" x14ac:dyDescent="0.25">
      <c r="A8">
        <v>2600</v>
      </c>
      <c r="B8">
        <f t="shared" si="0"/>
        <v>423</v>
      </c>
      <c r="C8">
        <f>ROUND((C9-C7)/160*60+C7,0)</f>
        <v>474</v>
      </c>
      <c r="D8">
        <f t="shared" si="1"/>
        <v>276</v>
      </c>
      <c r="E8">
        <v>307</v>
      </c>
      <c r="G8">
        <v>459</v>
      </c>
    </row>
    <row r="9" spans="1:7" x14ac:dyDescent="0.25">
      <c r="A9">
        <v>2640</v>
      </c>
      <c r="B9">
        <f t="shared" si="0"/>
        <v>439</v>
      </c>
      <c r="C9">
        <v>490</v>
      </c>
      <c r="D9">
        <f t="shared" si="1"/>
        <v>286</v>
      </c>
      <c r="E9">
        <v>317</v>
      </c>
      <c r="G9">
        <v>475</v>
      </c>
    </row>
    <row r="10" spans="1:7" x14ac:dyDescent="0.25">
      <c r="A10">
        <v>2700</v>
      </c>
      <c r="B10">
        <f t="shared" si="0"/>
        <v>450</v>
      </c>
      <c r="C10">
        <f>ROUND((C11-C9)/160*60+C9,0)</f>
        <v>501</v>
      </c>
      <c r="D10" t="s">
        <v>146</v>
      </c>
      <c r="E10" t="s">
        <v>146</v>
      </c>
      <c r="G10">
        <v>486</v>
      </c>
    </row>
    <row r="11" spans="1:7" x14ac:dyDescent="0.25">
      <c r="A11">
        <v>2800</v>
      </c>
      <c r="B11">
        <f t="shared" si="0"/>
        <v>468</v>
      </c>
      <c r="C11">
        <v>519</v>
      </c>
      <c r="D11" t="s">
        <v>146</v>
      </c>
      <c r="E11" t="s">
        <v>146</v>
      </c>
      <c r="G11">
        <v>504</v>
      </c>
    </row>
    <row r="12" spans="1:7" x14ac:dyDescent="0.25">
      <c r="A12">
        <v>2900</v>
      </c>
      <c r="B12">
        <f t="shared" si="0"/>
        <v>479</v>
      </c>
      <c r="C12">
        <v>530</v>
      </c>
      <c r="D12" t="s">
        <v>146</v>
      </c>
      <c r="E12" t="s">
        <v>146</v>
      </c>
      <c r="G12">
        <v>515</v>
      </c>
    </row>
    <row r="13" spans="1:7" x14ac:dyDescent="0.25">
      <c r="A13">
        <v>3000</v>
      </c>
      <c r="B13">
        <f t="shared" si="0"/>
        <v>498</v>
      </c>
      <c r="C13">
        <v>549</v>
      </c>
      <c r="D13" t="s">
        <v>146</v>
      </c>
      <c r="E13" t="s">
        <v>146</v>
      </c>
      <c r="G13">
        <v>534</v>
      </c>
    </row>
    <row r="14" spans="1:7" x14ac:dyDescent="0.25">
      <c r="A14">
        <v>3100</v>
      </c>
      <c r="B14">
        <f t="shared" si="0"/>
        <v>518</v>
      </c>
      <c r="C14">
        <v>569</v>
      </c>
      <c r="D14" t="s">
        <v>146</v>
      </c>
      <c r="E14" t="s">
        <v>146</v>
      </c>
      <c r="G14">
        <v>554</v>
      </c>
    </row>
    <row r="15" spans="1:7" x14ac:dyDescent="0.25">
      <c r="A15">
        <v>3200</v>
      </c>
      <c r="B15">
        <f t="shared" si="0"/>
        <v>536</v>
      </c>
      <c r="C15">
        <v>587</v>
      </c>
      <c r="D15" t="s">
        <v>146</v>
      </c>
      <c r="E15" t="s">
        <v>146</v>
      </c>
      <c r="G15">
        <v>572</v>
      </c>
    </row>
    <row r="16" spans="1:7" x14ac:dyDescent="0.25">
      <c r="A16">
        <v>3300</v>
      </c>
      <c r="B16">
        <f t="shared" si="0"/>
        <v>554</v>
      </c>
      <c r="C16">
        <v>605</v>
      </c>
      <c r="D16" t="s">
        <v>146</v>
      </c>
      <c r="E16" t="s">
        <v>146</v>
      </c>
      <c r="G16">
        <v>590</v>
      </c>
    </row>
  </sheetData>
  <sheetProtection algorithmName="SHA-512" hashValue="eCEGTIb6JrQ+Hs/toaiOpxDPMIw9SEboh+KUeRd4M/UHvXG7HmQDutRUifWjPM4F+u2AqxAXAZ3P/q849p3oZg==" saltValue="Ks095yKFULfwM6p5MeNBCg==" spinCount="100000"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B1:G26"/>
  <sheetViews>
    <sheetView workbookViewId="0">
      <selection activeCell="C10" sqref="C10"/>
    </sheetView>
  </sheetViews>
  <sheetFormatPr defaultRowHeight="15" x14ac:dyDescent="0.25"/>
  <cols>
    <col min="2" max="2" width="28" bestFit="1" customWidth="1"/>
    <col min="4" max="4" width="14.42578125" customWidth="1"/>
  </cols>
  <sheetData>
    <row r="1" spans="2:7" s="111" customFormat="1" ht="30" x14ac:dyDescent="0.25">
      <c r="C1" s="111" t="s">
        <v>24</v>
      </c>
      <c r="D1" s="111" t="s">
        <v>115</v>
      </c>
      <c r="E1" s="111" t="s">
        <v>114</v>
      </c>
      <c r="F1" s="111" t="s">
        <v>116</v>
      </c>
    </row>
    <row r="2" spans="2:7" x14ac:dyDescent="0.25">
      <c r="B2" s="109" t="s">
        <v>168</v>
      </c>
      <c r="C2">
        <v>230</v>
      </c>
      <c r="D2">
        <v>25</v>
      </c>
      <c r="E2">
        <v>0.26</v>
      </c>
      <c r="F2">
        <v>5.49</v>
      </c>
      <c r="G2">
        <f>C2*1.19804/(E2*209.97)</f>
        <v>5.0474097032176752</v>
      </c>
    </row>
    <row r="3" spans="2:7" x14ac:dyDescent="0.25">
      <c r="B3" s="109" t="s">
        <v>149</v>
      </c>
      <c r="C3">
        <v>110</v>
      </c>
      <c r="D3">
        <v>40</v>
      </c>
      <c r="E3">
        <v>0.13</v>
      </c>
      <c r="F3">
        <v>4.83</v>
      </c>
      <c r="G3">
        <f>C3*1.19804/(E3*209.97)</f>
        <v>4.8279571074256031</v>
      </c>
    </row>
    <row r="4" spans="2:7" x14ac:dyDescent="0.25">
      <c r="B4" s="128" t="s">
        <v>150</v>
      </c>
      <c r="C4">
        <v>82</v>
      </c>
      <c r="D4">
        <v>25</v>
      </c>
      <c r="E4">
        <v>0.13</v>
      </c>
      <c r="G4">
        <f>C4*1.19804/(E4*209.97)</f>
        <v>3.599022570989995</v>
      </c>
    </row>
    <row r="5" spans="2:7" x14ac:dyDescent="0.25">
      <c r="B5" s="129" t="s">
        <v>169</v>
      </c>
      <c r="C5">
        <v>145</v>
      </c>
      <c r="D5">
        <v>25</v>
      </c>
      <c r="E5">
        <v>1.06</v>
      </c>
      <c r="F5">
        <v>0.78</v>
      </c>
      <c r="G5">
        <f t="shared" ref="G5:G10" si="0">C5*1.19804/(E5*209.97)</f>
        <v>0.78050593031708926</v>
      </c>
    </row>
    <row r="6" spans="2:7" x14ac:dyDescent="0.25">
      <c r="B6" s="129" t="s">
        <v>170</v>
      </c>
      <c r="C6">
        <v>82</v>
      </c>
      <c r="D6">
        <v>25</v>
      </c>
      <c r="E6">
        <v>0.53</v>
      </c>
      <c r="F6">
        <v>0.88</v>
      </c>
      <c r="G6">
        <f t="shared" si="0"/>
        <v>0.88277912118622504</v>
      </c>
    </row>
    <row r="7" spans="2:7" x14ac:dyDescent="0.25">
      <c r="B7" s="129" t="s">
        <v>171</v>
      </c>
      <c r="C7">
        <v>110</v>
      </c>
      <c r="D7">
        <v>40</v>
      </c>
      <c r="E7">
        <v>0.79</v>
      </c>
      <c r="F7">
        <v>0.79</v>
      </c>
      <c r="G7">
        <f t="shared" si="0"/>
        <v>0.7944739543864916</v>
      </c>
    </row>
    <row r="8" spans="2:7" x14ac:dyDescent="0.25">
      <c r="B8" s="129" t="s">
        <v>151</v>
      </c>
      <c r="C8">
        <v>40</v>
      </c>
      <c r="D8">
        <v>40</v>
      </c>
      <c r="E8">
        <v>0.26</v>
      </c>
      <c r="F8">
        <v>0.88</v>
      </c>
      <c r="G8">
        <f t="shared" si="0"/>
        <v>0.87781038316829141</v>
      </c>
    </row>
    <row r="9" spans="2:7" x14ac:dyDescent="0.25">
      <c r="B9" s="129" t="s">
        <v>155</v>
      </c>
      <c r="C9">
        <v>32</v>
      </c>
      <c r="D9">
        <v>25</v>
      </c>
      <c r="E9">
        <v>0.26</v>
      </c>
      <c r="F9">
        <v>0.61</v>
      </c>
      <c r="G9">
        <f t="shared" si="0"/>
        <v>0.70224830653463322</v>
      </c>
    </row>
    <row r="10" spans="2:7" x14ac:dyDescent="0.25">
      <c r="B10" s="129" t="s">
        <v>156</v>
      </c>
      <c r="C10">
        <v>40</v>
      </c>
      <c r="D10">
        <v>40</v>
      </c>
      <c r="E10">
        <v>0.13</v>
      </c>
      <c r="F10">
        <v>1.76</v>
      </c>
      <c r="G10">
        <f t="shared" si="0"/>
        <v>1.7556207663365828</v>
      </c>
    </row>
    <row r="11" spans="2:7" x14ac:dyDescent="0.25">
      <c r="B11" s="129" t="s">
        <v>152</v>
      </c>
      <c r="C11">
        <v>14</v>
      </c>
      <c r="D11">
        <v>40</v>
      </c>
      <c r="E11">
        <v>0.13</v>
      </c>
      <c r="F11">
        <v>0.61</v>
      </c>
      <c r="G11">
        <f>C11*1.19804/(E11*209.97)</f>
        <v>0.61446726821780395</v>
      </c>
    </row>
    <row r="12" spans="2:7" x14ac:dyDescent="0.25">
      <c r="B12" s="110" t="s">
        <v>153</v>
      </c>
      <c r="C12">
        <v>165</v>
      </c>
      <c r="D12">
        <v>15</v>
      </c>
      <c r="E12">
        <v>1.06</v>
      </c>
      <c r="F12">
        <v>0.91</v>
      </c>
      <c r="G12">
        <f>C12*1.19804/(E12*209.97)</f>
        <v>0.88816192070565336</v>
      </c>
    </row>
    <row r="13" spans="2:7" x14ac:dyDescent="0.25">
      <c r="B13" s="110" t="s">
        <v>154</v>
      </c>
      <c r="C13">
        <v>108</v>
      </c>
      <c r="D13">
        <v>15</v>
      </c>
      <c r="E13">
        <v>1.06</v>
      </c>
      <c r="F13">
        <v>0.57999999999999996</v>
      </c>
      <c r="G13">
        <f>C13*1.19804/(E13*209.97)</f>
        <v>0.58134234809824581</v>
      </c>
    </row>
    <row r="15" spans="2:7" x14ac:dyDescent="0.25">
      <c r="B15" s="101" t="s">
        <v>157</v>
      </c>
    </row>
    <row r="16" spans="2:7" x14ac:dyDescent="0.25">
      <c r="B16" s="101" t="s">
        <v>158</v>
      </c>
    </row>
    <row r="17" spans="2:2" x14ac:dyDescent="0.25">
      <c r="B17" s="101" t="s">
        <v>159</v>
      </c>
    </row>
    <row r="18" spans="2:2" x14ac:dyDescent="0.25">
      <c r="B18" s="101" t="s">
        <v>160</v>
      </c>
    </row>
    <row r="19" spans="2:2" x14ac:dyDescent="0.25">
      <c r="B19" s="101" t="s">
        <v>161</v>
      </c>
    </row>
    <row r="20" spans="2:2" x14ac:dyDescent="0.25">
      <c r="B20" s="101" t="s">
        <v>162</v>
      </c>
    </row>
    <row r="21" spans="2:2" x14ac:dyDescent="0.25">
      <c r="B21" s="101" t="s">
        <v>163</v>
      </c>
    </row>
    <row r="22" spans="2:2" x14ac:dyDescent="0.25">
      <c r="B22" s="101" t="s">
        <v>164</v>
      </c>
    </row>
    <row r="23" spans="2:2" x14ac:dyDescent="0.25">
      <c r="B23" s="101" t="s">
        <v>165</v>
      </c>
    </row>
    <row r="24" spans="2:2" x14ac:dyDescent="0.25">
      <c r="B24" s="101" t="s">
        <v>166</v>
      </c>
    </row>
    <row r="25" spans="2:2" x14ac:dyDescent="0.25">
      <c r="B25" s="101" t="s">
        <v>167</v>
      </c>
    </row>
    <row r="26" spans="2:2" x14ac:dyDescent="0.25">
      <c r="B26" s="101" t="s">
        <v>148</v>
      </c>
    </row>
  </sheetData>
  <sheetProtection algorithmName="SHA-512" hashValue="NClzDfkTs1muBAx1IaTSWj+qX3c6GsWh3Des8kX3gDi9bsah5XtjGbbgnCJTQfKRY1MG/JqondorJRxfGSVlsg==" saltValue="LDZrHct8t4IEgBHNxbA8Zw==" spinCount="100000" sheet="1" objects="1" scenarios="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B15"/>
  <sheetViews>
    <sheetView workbookViewId="0">
      <selection activeCell="D6" sqref="D6"/>
    </sheetView>
  </sheetViews>
  <sheetFormatPr defaultRowHeight="15" x14ac:dyDescent="0.25"/>
  <sheetData>
    <row r="1" spans="1:2" x14ac:dyDescent="0.25">
      <c r="A1" s="2" t="s">
        <v>58</v>
      </c>
      <c r="B1" s="3" t="s">
        <v>59</v>
      </c>
    </row>
    <row r="2" spans="1:2" x14ac:dyDescent="0.25">
      <c r="A2" s="4">
        <v>-3000</v>
      </c>
      <c r="B2" s="5">
        <v>1.1100000000000001</v>
      </c>
    </row>
    <row r="3" spans="1:2" x14ac:dyDescent="0.25">
      <c r="A3" s="4">
        <v>-2000</v>
      </c>
      <c r="B3" s="5">
        <v>1.07</v>
      </c>
    </row>
    <row r="4" spans="1:2" x14ac:dyDescent="0.25">
      <c r="A4" s="4">
        <v>-1000</v>
      </c>
      <c r="B4" s="5">
        <v>1.04</v>
      </c>
    </row>
    <row r="5" spans="1:2" x14ac:dyDescent="0.25">
      <c r="A5" s="4">
        <v>0</v>
      </c>
      <c r="B5" s="5">
        <v>1</v>
      </c>
    </row>
    <row r="6" spans="1:2" x14ac:dyDescent="0.25">
      <c r="A6" s="4">
        <v>1000</v>
      </c>
      <c r="B6" s="5">
        <v>0.96</v>
      </c>
    </row>
    <row r="7" spans="1:2" x14ac:dyDescent="0.25">
      <c r="A7" s="4">
        <v>2000</v>
      </c>
      <c r="B7" s="5">
        <v>0.93</v>
      </c>
    </row>
    <row r="8" spans="1:2" x14ac:dyDescent="0.25">
      <c r="A8" s="4">
        <v>3000</v>
      </c>
      <c r="B8" s="5">
        <v>0.89</v>
      </c>
    </row>
    <row r="9" spans="1:2" x14ac:dyDescent="0.25">
      <c r="A9" s="4">
        <v>4000</v>
      </c>
      <c r="B9" s="5">
        <v>0.86</v>
      </c>
    </row>
    <row r="10" spans="1:2" x14ac:dyDescent="0.25">
      <c r="A10" s="4">
        <v>5000</v>
      </c>
      <c r="B10" s="5">
        <v>0.82</v>
      </c>
    </row>
    <row r="11" spans="1:2" x14ac:dyDescent="0.25">
      <c r="A11" s="4">
        <v>6000</v>
      </c>
      <c r="B11" s="5">
        <v>0.78</v>
      </c>
    </row>
    <row r="12" spans="1:2" x14ac:dyDescent="0.25">
      <c r="A12" s="4">
        <v>7000</v>
      </c>
      <c r="B12" s="5">
        <v>0.75</v>
      </c>
    </row>
    <row r="13" spans="1:2" x14ac:dyDescent="0.25">
      <c r="A13" s="4">
        <v>8000</v>
      </c>
      <c r="B13" s="5">
        <v>0.72</v>
      </c>
    </row>
    <row r="14" spans="1:2" x14ac:dyDescent="0.25">
      <c r="A14" s="4">
        <v>9000</v>
      </c>
      <c r="B14" s="5">
        <v>0.69</v>
      </c>
    </row>
    <row r="15" spans="1:2" ht="15.75" thickBot="1" x14ac:dyDescent="0.3">
      <c r="A15" s="6">
        <v>10000</v>
      </c>
      <c r="B15" s="7">
        <v>0.66</v>
      </c>
    </row>
  </sheetData>
  <sheetProtection algorithmName="SHA-512" hashValue="woazms5IpFf2KIoKEWhT6SSXxuOuAiehm2HfqeB3q2fkB7tb4wKlNRYon3oahUlK3WMQyuGd/+l796ulmrakNQ==" saltValue="p9HcMVJnuASMEnZDFgZpnA==" spinCount="100000" sheet="1" objects="1" scenarios="1"/>
  <pageMargins left="0.7" right="0.7" top="0.75" bottom="0.75" header="0.3" footer="0.3"/>
  <pageSetup orientation="portrait" r:id="rId1"/>
</worksheet>
</file>

<file path=docMetadata/LabelInfo.xml><?xml version="1.0" encoding="utf-8"?>
<clbl:labelList xmlns:clbl="http://schemas.microsoft.com/office/2020/mipLabelMetadata">
  <clbl:label id="{3ef21d3c-8d10-42d2-a73d-e847df22c988}" enabled="1" method="Standard" siteId="{d2bfb7fe-352c-4886-98a3-044da283af7e}"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Information</vt:lpstr>
      <vt:lpstr>.625"  Class A surface fires</vt:lpstr>
      <vt:lpstr>0.5" Class B Machine Space</vt:lpstr>
      <vt:lpstr>0.5" Class B Fuels Per NFPA 770</vt:lpstr>
      <vt:lpstr>General Design Equation</vt:lpstr>
      <vt:lpstr>V1000 Design</vt:lpstr>
      <vt:lpstr>Cylinder Pressure Data</vt:lpstr>
      <vt:lpstr>Cylinder Characteristic</vt:lpstr>
      <vt:lpstr>Emitters</vt:lpstr>
      <vt:lpstr>ACF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2022-05-31T18:14:25Z</dcterms:created>
  <dcterms:modified xsi:type="dcterms:W3CDTF">2025-12-01T18:47:14Z</dcterms:modified>
</cp:coreProperties>
</file>