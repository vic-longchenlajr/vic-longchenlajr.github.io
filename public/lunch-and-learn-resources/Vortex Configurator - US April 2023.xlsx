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ctaulic-my.sharepoint.com/personal/bbryant_victaulic_com/Documents/Personal Archive/Company Files/Victaulic/Spreadsheets/"/>
    </mc:Choice>
  </mc:AlternateContent>
  <xr:revisionPtr revIDLastSave="1" documentId="13_ncr:1_{D50CE8D0-AF42-4A0B-B5A4-E7127C3F1F4F}" xr6:coauthVersionLast="47" xr6:coauthVersionMax="47" xr10:uidLastSave="{2869E791-8355-431C-B8C8-49B1393267E8}"/>
  <bookViews>
    <workbookView xWindow="-120" yWindow="-120" windowWidth="29040" windowHeight="15720" xr2:uid="{2F4AB4FE-730E-4C62-9DE9-01EA911551D3}"/>
  </bookViews>
  <sheets>
    <sheet name="US Configur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I5" i="1" s="1"/>
</calcChain>
</file>

<file path=xl/sharedStrings.xml><?xml version="1.0" encoding="utf-8"?>
<sst xmlns="http://schemas.openxmlformats.org/spreadsheetml/2006/main" count="393" uniqueCount="385">
  <si>
    <r>
      <t>Victaulic Vortex</t>
    </r>
    <r>
      <rPr>
        <b/>
        <vertAlign val="superscript"/>
        <sz val="18"/>
        <rFont val="Times New Roman"/>
        <family val="1"/>
      </rPr>
      <t>®</t>
    </r>
    <r>
      <rPr>
        <b/>
        <sz val="18"/>
        <rFont val="Arial"/>
        <family val="2"/>
      </rPr>
      <t xml:space="preserve"> System Product List Price
Effective 3 April 2023</t>
    </r>
  </si>
  <si>
    <t>United States</t>
  </si>
  <si>
    <t>Project List Price:</t>
  </si>
  <si>
    <t>Multiplier:</t>
  </si>
  <si>
    <t>Net Price:</t>
  </si>
  <si>
    <r>
      <rPr>
        <b/>
        <u/>
        <sz val="11"/>
        <color rgb="FFFF0000"/>
        <rFont val="Arial"/>
        <family val="2"/>
      </rPr>
      <t>NOTE</t>
    </r>
    <r>
      <rPr>
        <b/>
        <sz val="11"/>
        <color rgb="FFFF0000"/>
        <rFont val="Arial"/>
        <family val="2"/>
      </rPr>
      <t xml:space="preserve">: </t>
    </r>
    <r>
      <rPr>
        <sz val="11"/>
        <rFont val="Arial"/>
        <family val="2"/>
      </rPr>
      <t>Please add information to the cells shaded in</t>
    </r>
  </si>
  <si>
    <t>GREEN.</t>
  </si>
  <si>
    <t>Option Style</t>
  </si>
  <si>
    <t>Shipping Weight</t>
  </si>
  <si>
    <t>Part Code</t>
  </si>
  <si>
    <t>QTY</t>
  </si>
  <si>
    <t>List Price
(USD)</t>
  </si>
  <si>
    <t>Extended Price</t>
  </si>
  <si>
    <t>Net EA</t>
  </si>
  <si>
    <t>Extended Net</t>
  </si>
  <si>
    <t>Emitters</t>
  </si>
  <si>
    <t>1/8" Emitters</t>
  </si>
  <si>
    <t>S001953100</t>
  </si>
  <si>
    <t>S001953101</t>
  </si>
  <si>
    <t>S003953105</t>
  </si>
  <si>
    <t>S00195310X</t>
  </si>
  <si>
    <t>1/4" Emitters</t>
  </si>
  <si>
    <t>S002953X02</t>
  </si>
  <si>
    <t>S002953101</t>
  </si>
  <si>
    <t>S003953170</t>
  </si>
  <si>
    <t>S002953100</t>
  </si>
  <si>
    <t>S002953X01</t>
  </si>
  <si>
    <t>S00295310A</t>
  </si>
  <si>
    <t>3/8" Emitters</t>
  </si>
  <si>
    <t>S003953X30</t>
  </si>
  <si>
    <t>S003953131</t>
  </si>
  <si>
    <t>S003953130</t>
  </si>
  <si>
    <t>S00395310A</t>
  </si>
  <si>
    <t>1/2" Emitters</t>
  </si>
  <si>
    <t>S006953X40</t>
  </si>
  <si>
    <t>S006953400</t>
  </si>
  <si>
    <t>S00495350A</t>
  </si>
  <si>
    <t>S006953406</t>
  </si>
  <si>
    <t>5/8" Emitters</t>
  </si>
  <si>
    <t>S006953X50</t>
  </si>
  <si>
    <t>S006953500</t>
  </si>
  <si>
    <t>S006953503</t>
  </si>
  <si>
    <t>S006953X51</t>
  </si>
  <si>
    <t>S006953501</t>
  </si>
  <si>
    <t>S00695350A</t>
  </si>
  <si>
    <t>Water Flow Kits (Strainer, Flow Cartridge, Emitter Trim Kit)</t>
  </si>
  <si>
    <t>K000953013</t>
  </si>
  <si>
    <t>K000953X13</t>
  </si>
  <si>
    <t>K000953026</t>
  </si>
  <si>
    <t>K000953X26</t>
  </si>
  <si>
    <t>K000953053</t>
  </si>
  <si>
    <t>K000953X53</t>
  </si>
  <si>
    <t>K000953079</t>
  </si>
  <si>
    <t>K000953X79</t>
  </si>
  <si>
    <t>K000953106</t>
  </si>
  <si>
    <t>K000953X06</t>
  </si>
  <si>
    <t>Vortex Panels</t>
  </si>
  <si>
    <t>Combination Panels</t>
  </si>
  <si>
    <t>1"</t>
  </si>
  <si>
    <t>S00095115D</t>
  </si>
  <si>
    <t>S00095115R</t>
  </si>
  <si>
    <t>S010951026</t>
  </si>
  <si>
    <t>S01095115D</t>
  </si>
  <si>
    <t>S010951027</t>
  </si>
  <si>
    <t>S010951135</t>
  </si>
  <si>
    <t>S01095115R</t>
  </si>
  <si>
    <t>S010951137</t>
  </si>
  <si>
    <t>1.5"</t>
  </si>
  <si>
    <t>S014951036</t>
  </si>
  <si>
    <t>S01495115D</t>
  </si>
  <si>
    <t>S014951037</t>
  </si>
  <si>
    <t>S014951137</t>
  </si>
  <si>
    <t>S01495115R</t>
  </si>
  <si>
    <t>S014951144</t>
  </si>
  <si>
    <t>* Please note each Combination Panels requires a pressure transducer to be ordered separately.  Reference spare parts section for pressure transducer selection.</t>
  </si>
  <si>
    <t>Fluid Panels</t>
  </si>
  <si>
    <t>S0009515DC</t>
  </si>
  <si>
    <t>S0009515AR</t>
  </si>
  <si>
    <t>S010951031</t>
  </si>
  <si>
    <t>S0109515DC</t>
  </si>
  <si>
    <t>S010951037</t>
  </si>
  <si>
    <t>S010951139</t>
  </si>
  <si>
    <t>S0109515AR</t>
  </si>
  <si>
    <t>S010951160</t>
  </si>
  <si>
    <t>S014951040</t>
  </si>
  <si>
    <t>S0149515DC</t>
  </si>
  <si>
    <t>S014951045</t>
  </si>
  <si>
    <t>S014951150</t>
  </si>
  <si>
    <t>S0149515AR</t>
  </si>
  <si>
    <t>S014951151</t>
  </si>
  <si>
    <t>*Please note that each Fluid Panel requires a pressure transducer to be ordered separately.  Reference spare parts section for pressure transducer selection.</t>
  </si>
  <si>
    <t>Zone Panels</t>
  </si>
  <si>
    <t>S014951153</t>
  </si>
  <si>
    <t>S01495115A</t>
  </si>
  <si>
    <t>S01495120A</t>
  </si>
  <si>
    <t>2"</t>
  </si>
  <si>
    <t>S020951150</t>
  </si>
  <si>
    <t>S02095115A</t>
  </si>
  <si>
    <t>S02095120A</t>
  </si>
  <si>
    <t>Pressure Transducers</t>
  </si>
  <si>
    <t>P000951134</t>
  </si>
  <si>
    <t>P000951TRM</t>
  </si>
  <si>
    <t>Relief Valves</t>
  </si>
  <si>
    <t>S010951RLV</t>
  </si>
  <si>
    <t>S020951RLV</t>
  </si>
  <si>
    <t>Cylinders</t>
  </si>
  <si>
    <t>S000950A01</t>
  </si>
  <si>
    <t>S000950A02</t>
  </si>
  <si>
    <t xml:space="preserve">Discharge Hose Kits and Accessories </t>
  </si>
  <si>
    <t>S4909500PP</t>
  </si>
  <si>
    <t>S4909500SP</t>
  </si>
  <si>
    <t>S0009500PP</t>
  </si>
  <si>
    <t>S0009500SP</t>
  </si>
  <si>
    <t>S000950PSP</t>
  </si>
  <si>
    <t>S000950P70</t>
  </si>
  <si>
    <t>S000950P50</t>
  </si>
  <si>
    <t>S002950000</t>
  </si>
  <si>
    <t>S002950401</t>
  </si>
  <si>
    <t>S000950015</t>
  </si>
  <si>
    <t>Bulk Nitrogen Supply</t>
  </si>
  <si>
    <t>24’ Bulk Gas Service ASME Tube</t>
  </si>
  <si>
    <t>38’ Bulk Gas Service ASME Tube</t>
  </si>
  <si>
    <t>2” Electrically Actuated Ball Valves, 24VDC, 75% Duty Cycle</t>
  </si>
  <si>
    <t>Manifolds</t>
  </si>
  <si>
    <t>S00M950PM2</t>
  </si>
  <si>
    <t>S00M950PM3</t>
  </si>
  <si>
    <t>S00M950PM4</t>
  </si>
  <si>
    <t>S00M950PM6</t>
  </si>
  <si>
    <t>S00M950PP4</t>
  </si>
  <si>
    <t>S00M950PP6</t>
  </si>
  <si>
    <t>S00M950PP8</t>
  </si>
  <si>
    <t>S00M95PP12</t>
  </si>
  <si>
    <t>Isolation Ball Valve Kits</t>
  </si>
  <si>
    <t>S000950010</t>
  </si>
  <si>
    <t>S014950121</t>
  </si>
  <si>
    <t>Active Release Manifold Racks - Assembly Required</t>
  </si>
  <si>
    <t>Structural Steel - V1000 Only</t>
  </si>
  <si>
    <t>49L</t>
  </si>
  <si>
    <t>K490950002</t>
  </si>
  <si>
    <t>K490950003</t>
  </si>
  <si>
    <t>K490950104</t>
  </si>
  <si>
    <t>K490950106</t>
  </si>
  <si>
    <t>K490950004</t>
  </si>
  <si>
    <t>K490950006</t>
  </si>
  <si>
    <t>K490950008</t>
  </si>
  <si>
    <t>K490950012</t>
  </si>
  <si>
    <t>80L</t>
  </si>
  <si>
    <t>K800950002</t>
  </si>
  <si>
    <t>K800950003</t>
  </si>
  <si>
    <t>K800950104</t>
  </si>
  <si>
    <t>K800950106</t>
  </si>
  <si>
    <t>K800950004</t>
  </si>
  <si>
    <t>K800950006</t>
  </si>
  <si>
    <t>K800950008</t>
  </si>
  <si>
    <t>K800950012</t>
  </si>
  <si>
    <t>Unistrut - V1500 Only</t>
  </si>
  <si>
    <t>S4909502X1</t>
  </si>
  <si>
    <t>S4909503X1</t>
  </si>
  <si>
    <t>S4909504X1</t>
  </si>
  <si>
    <t>S4909506X1</t>
  </si>
  <si>
    <t>S4909502X2</t>
  </si>
  <si>
    <t>S4909503X2</t>
  </si>
  <si>
    <t>S4909504X2</t>
  </si>
  <si>
    <t>S4909506X2</t>
  </si>
  <si>
    <t>S0009502X1</t>
  </si>
  <si>
    <t>S0009503X1</t>
  </si>
  <si>
    <t>S0009504X1</t>
  </si>
  <si>
    <t>S0009506X1</t>
  </si>
  <si>
    <t>S0009502X2</t>
  </si>
  <si>
    <t>S0009503X2</t>
  </si>
  <si>
    <t>S0009504X2</t>
  </si>
  <si>
    <t>S0009506X2</t>
  </si>
  <si>
    <t>Water Supply</t>
  </si>
  <si>
    <t>P000950065</t>
  </si>
  <si>
    <t>V010728CT0</t>
  </si>
  <si>
    <t>*Please note a Series 728 water ball valve must be ordered for each water tank</t>
  </si>
  <si>
    <t>S100950140</t>
  </si>
  <si>
    <t>S300950140</t>
  </si>
  <si>
    <t>S600950140</t>
  </si>
  <si>
    <t>S800950140</t>
  </si>
  <si>
    <t>S120950140</t>
  </si>
  <si>
    <t>S200950140</t>
  </si>
  <si>
    <t>S400950140</t>
  </si>
  <si>
    <t>System Warning Signs</t>
  </si>
  <si>
    <t>Z000950011</t>
  </si>
  <si>
    <t>Z000950012</t>
  </si>
  <si>
    <t>Z111278LBL</t>
  </si>
  <si>
    <t>Z111277LBL</t>
  </si>
  <si>
    <t>Z000950004</t>
  </si>
  <si>
    <t>Z000950030</t>
  </si>
  <si>
    <t>Spare Parts</t>
  </si>
  <si>
    <t>P002953260</t>
  </si>
  <si>
    <t>P006953522</t>
  </si>
  <si>
    <t>P006953560</t>
  </si>
  <si>
    <t>K000950KIT</t>
  </si>
  <si>
    <t>P000955B29</t>
  </si>
  <si>
    <t>P000955A29</t>
  </si>
  <si>
    <t>S000950BA1</t>
  </si>
  <si>
    <t>S000950P32</t>
  </si>
  <si>
    <t>S000950B08</t>
  </si>
  <si>
    <t>S000950BA2</t>
  </si>
  <si>
    <t>S000950BA4</t>
  </si>
  <si>
    <t>P000950018</t>
  </si>
  <si>
    <t>P000950001</t>
  </si>
  <si>
    <t>S000950B22</t>
  </si>
  <si>
    <t>P000955035</t>
  </si>
  <si>
    <t>P000950034</t>
  </si>
  <si>
    <t>S000950B03</t>
  </si>
  <si>
    <t>P000951135</t>
  </si>
  <si>
    <t>P000951RFP</t>
  </si>
  <si>
    <t>P00495000U</t>
  </si>
  <si>
    <t>P000950017</t>
  </si>
  <si>
    <t>Power Supply and Battery Back Up</t>
  </si>
  <si>
    <t>S000950027</t>
  </si>
  <si>
    <t>S000950220</t>
  </si>
  <si>
    <t>Engineering Site Support</t>
  </si>
  <si>
    <t>Site Support - First Day - Fee $3,000</t>
  </si>
  <si>
    <t>N/A</t>
  </si>
  <si>
    <t>Code 7N</t>
  </si>
  <si>
    <t>Site Support - Additional Days - Fee $1,500 per day</t>
  </si>
  <si>
    <t>1/8 EMITTER 953 DOME FOIL STD~ BRASS 3/8 FPT 1/8 FPT</t>
  </si>
  <si>
    <t>1/8 EMITTER 954 CAVITY FOIL  ~ STD BRASS 3/8 FPT 1/8 FPT</t>
  </si>
  <si>
    <t>1/8 EMITTER 953 CAVITY FOIL  ~ STD PVDF 3/8 FPT 1/8 FPT</t>
  </si>
  <si>
    <t>1/8 EMITTER 953 DOME FOIL STD~ SS 3/8 FPT 1/8 FPT</t>
  </si>
  <si>
    <t>1/4 EMITTER 953 DOME FOIL STD~ SS 3/4 MPT 1/4 FPT</t>
  </si>
  <si>
    <t>1/4 EMITTER 953 DOME FOIL STD~ BRASS 3/4 MPT 1/4 FPT</t>
  </si>
  <si>
    <t>1/4 EMITTER 954 CAVITY FOIL  ~ STD PVDF 3/8 FPT 1/8 FPT</t>
  </si>
  <si>
    <t>1/4 EMITTER 954 CAVITY FOIL  ~ STD BRASS 3/4 MPT 1/4 FPT</t>
  </si>
  <si>
    <t>1/4 EMITTER 954 CAVITY FOIL  ~ STD SS 3/4 MPT 1/4 FPT</t>
  </si>
  <si>
    <t>1/4 EMITTER 954 CAVITY FOIL  ~ ESC SS 3/4 FPT 1/4 FPT</t>
  </si>
  <si>
    <t>3/8 EMITTER 953 DOME FOIL STD~ SS 3/4 MPT 1/4 FPT</t>
  </si>
  <si>
    <t>3/8 EMITTER 953 DOME FOIL STD~ BR 3/4 MPT 1/4 FPT</t>
  </si>
  <si>
    <t>3/8 EMITTER 954 CAVITY FOIL  ~ STD BR 3/4 MPT 1/4 FPT</t>
  </si>
  <si>
    <t>3/8 EMIT 954 CAV ESC SS316(-05 CLEANROOM</t>
  </si>
  <si>
    <t>1/2 EMITTER 953 DOME FOIL STD~ SS 3/4 MPT 1/4 FPT</t>
  </si>
  <si>
    <t>1/2 EMITTER 953 DOME FOIL STD~ BR 3/4 MPT 1/4 FPT</t>
  </si>
  <si>
    <t>1/2 EMT 953 DOME ESC SS316(-05 CLEANROOM</t>
  </si>
  <si>
    <t>1/2 EMITTER 953 DOME FOIL STD~ PVDF 3/4 MPT 1/4 FPT</t>
  </si>
  <si>
    <t>5/8 EMITTER 953 DOME FOIL STD~ SS 3/4 MPT 1/4 FPT</t>
  </si>
  <si>
    <t>5/8 EMITTER 953 DOME FOIL STD~ BRASS 3/4 MPT 1/4 FPT</t>
  </si>
  <si>
    <t>953 EMITTER ASY 5/8 ORIFICE  ~ W/CAVITY 3/4 NPT</t>
  </si>
  <si>
    <t>5/8 EMITTER 954 CAVITY FOIL  ~ STD SS 3/4 MPT 1/4 FPT</t>
  </si>
  <si>
    <t>5/8 EMITTER 954 CAVITY FOIL  ~ STD BRASS 3/4 MPT 1/4 FPT</t>
  </si>
  <si>
    <t>5/8 EMT 954 CAV ESC SS316(-06) CLEANROOM</t>
  </si>
  <si>
    <t>WATER FLOW CATRIDGE KIT .13GPM BRASS 3/4 NPT</t>
  </si>
  <si>
    <t>WATER FLOW CARTRIDGE KIT .13 ~ GPM SS 3/4 NPT</t>
  </si>
  <si>
    <t>WATER FLOW CARTRIDGE KIT .26 ~ GPM BRASS 3/4 NPT</t>
  </si>
  <si>
    <t>WATER FLOW CARTRIDGE KIT .26 ~ GPM SS 3/4 NPT</t>
  </si>
  <si>
    <t>WATER FLOW CARTRIDGE KIT .53 ~ GPM BRASS 3/4 NPT</t>
  </si>
  <si>
    <t>WATER FLOW CARTRIDGE KIT .53 ~ GPM SS 3/4 NPT</t>
  </si>
  <si>
    <t>WATER FLOW CARTRIDGE KIT .79 ~ GPM BRASS 3/4 NPT</t>
  </si>
  <si>
    <t>WATER FLOW CARTRIDGE KIT .79 ~ GPM SS 3/4 NPT</t>
  </si>
  <si>
    <t>WATER FLOW CARTRIDGE KIT 1.06~ GPM BRASS 3/4 NPT</t>
  </si>
  <si>
    <t>WATER FLOW CARTRIDGE KIT 1.06~ GPM SS 3/4 NPT</t>
  </si>
  <si>
    <t>1 V1500 REDUCED FLOW COMBO   ~ PANEL DRY CONTACT BALL VALVE</t>
  </si>
  <si>
    <t>1 V1500 REDUCED FLOW ACTIVE  ~ RELEASE COMBO PANEL BALL VLV</t>
  </si>
  <si>
    <t>1 951 V1000 COMBO PANEL DRY  ~ CONTACT BALL VALVE</t>
  </si>
  <si>
    <t>1 951 V1500 COMBO PANEL DRY  ~ CONTACT BALL VALVE</t>
  </si>
  <si>
    <t>1 951 V2000 COMBO PANEL DRY  ~ CONTACT BALL VALVE</t>
  </si>
  <si>
    <t>1 951 V1000 COMBO PANEL ACTIVE RELEASE BALL VALVE</t>
  </si>
  <si>
    <t>1 951 V1500 COMBO PANEL ACTIVE RELEASE BALL VALVE</t>
  </si>
  <si>
    <t>1 951 V2000 COMBO PANEL ACTIVE RELEASE BALL VALVE</t>
  </si>
  <si>
    <t>1 1/2 951 V1000 COMBO PANEL  ~ DRY CONTACT BALL VALVE</t>
  </si>
  <si>
    <t>1 1/2 951 V1500 COMBO PANEL  ~ DRY CONTACT BALL VALVE</t>
  </si>
  <si>
    <t>1 1/2 951 V2000 COMBO PANEL  ~ DRY CONTACT BALL VALVE</t>
  </si>
  <si>
    <t>1 1/2 951 V1000 COMBO PANEL  ~ ACTIVE RELEASE BALL VALVE</t>
  </si>
  <si>
    <t>1 1/2 951 V1500 COMBO PANEL  ~ ACTIVE RELEASE BALL VALVE</t>
  </si>
  <si>
    <t>1 1/2 951 V2000 COMBO PANEL  ~ ACTIVE RELEASE BALL VALVE</t>
  </si>
  <si>
    <t>1 951 V1500 REDUCED FLOW FLUID PANEL DRY CONTACT</t>
  </si>
  <si>
    <t>1 951 V1500 REDUCED FLOW FLUID PANEL ACTIVE RELEASE</t>
  </si>
  <si>
    <t>1 951 V1000 FLUID PANEL DRY  ~ CONTACT</t>
  </si>
  <si>
    <t>1 951 V1500 FLUID PANEL DRY  ~ CONTACT</t>
  </si>
  <si>
    <t>1 951 V2000 FLUID PANEL DRY  ~ CONTACT</t>
  </si>
  <si>
    <t>1 951 V1000 FLUID PANEL ACTIVE RELEASE</t>
  </si>
  <si>
    <t>1 951 V1500 FLUID PANEL ACTIVE RELEASE</t>
  </si>
  <si>
    <t>1 951 V2000 FLUID PANEL ACTIVE RELEASE</t>
  </si>
  <si>
    <t>1 1/2 951 V1000 FLUID PANEL  ~ DRY CONTACT</t>
  </si>
  <si>
    <t>1 1/2 951 V1500 FLUID PANEL  ~ DRY CONTACT</t>
  </si>
  <si>
    <t>1 1/2 951 V2000 FLUID PANEL  ~ DRY CONTACT</t>
  </si>
  <si>
    <t>1 1/2 951 V1000 FLUID PANEL  ~ ACTIVE RELEASE</t>
  </si>
  <si>
    <t>1 1/2 951 V1500 FLUID PANEL  ~ ACTIVE RELEASE</t>
  </si>
  <si>
    <t>1 1/2 951 V2000 FLUID PANEL  ~ ACTIVE RELEASE</t>
  </si>
  <si>
    <t>1 1/2 951 V1000 ZONE PANEL DRY CONTACT BALL VALVE</t>
  </si>
  <si>
    <t>1 1/2 951 V1500 ZONE PANEL DRY CONTACT BALL VALVE</t>
  </si>
  <si>
    <t>1 1/2 951 V2000 ZONE PANEL DRY CONTACT BALL VALVE</t>
  </si>
  <si>
    <t>2 951 V1000 ZONE PANEL DRY   ~ CONTACT BALL VALVE</t>
  </si>
  <si>
    <t>2 951 V1500 ZONE PANEL DRY   ~ CONTACT BALL VALVE</t>
  </si>
  <si>
    <t>2 951 V2000 ZONE PANEL DRY   ~ CONTACT BALL VALVE</t>
  </si>
  <si>
    <t>PRS TRANSDUCER STANDARD 0-100~ PSI</t>
  </si>
  <si>
    <t>PRESSURE TRANSDUCER SPEC APP ~ EXPLOSION PROOF</t>
  </si>
  <si>
    <t>FLUID TO ZONE PIPING RELIEF  ~ VLV .85 ORIFICE 1 1/2</t>
  </si>
  <si>
    <t>FLUID TO ZONE PIPING RELIEF  ~ VALVE 1.39 ORIFICE 2</t>
  </si>
  <si>
    <t>VICTAULIC VORTEX NITROGEN CYL~ 80L W/VALVE PRESSURIZED</t>
  </si>
  <si>
    <t>VICTAULIC VORTEX NITROGEN CYL~ 49L W/VALVE PRESSURIZED</t>
  </si>
  <si>
    <t>49L CYLINDER PRIMARY PILOT KIT</t>
  </si>
  <si>
    <t>49L CYLINDER SECONDARY KIT   ~ WITH GAUGE</t>
  </si>
  <si>
    <t>80L CYLINDER PRIMARY PILOT KIT</t>
  </si>
  <si>
    <t>80L CYLINDER SECONDARY KIT   ~ WITH GAUGE</t>
  </si>
  <si>
    <t>SECONDARY PILOT KIT W/GAUGE  ~ &amp; PRS SWTCH</t>
  </si>
  <si>
    <t>1/4 PILOT HOSE 700MM F/JOINING DOUBLE STACKED RACKS</t>
  </si>
  <si>
    <t>1/4 PILOT HOSE 500MM F/JOINING ADJACENT RACKS</t>
  </si>
  <si>
    <t>VORTEX SINGLE CYLINDER REFILL~ ADAPTER CGA-580 INLET</t>
  </si>
  <si>
    <t>950 THD ADP ASY CGA 677 CONN ~ POINT CEE KAY</t>
  </si>
  <si>
    <t>IN PLACE BULK CYLINDER REFILL~ KIT 1 NPT INLET</t>
  </si>
  <si>
    <t>not found</t>
  </si>
  <si>
    <t>2 CYL MANIFOLD 2x1 INCLUDES  ~ 1 HIGH PRESSURE PLUG</t>
  </si>
  <si>
    <t>3 CYL MANIFOLD 3x1 INCLUDES  ~ 1 HIGH PRESSURE PLUG</t>
  </si>
  <si>
    <t>4 CYL MANIFOLD 4x1 INCLUDES  ~ 1 HIGH PRESSURE PLUG</t>
  </si>
  <si>
    <t>6 CYL MANIFOLD 6x1 INCLUDES  ~ 1 HIGH PRESSURE PLUG</t>
  </si>
  <si>
    <t>4 CYL MANIFOLD 2x2 INCLUDES  ~ 1 HIGH PRESSURE PLUG</t>
  </si>
  <si>
    <t>6 CYL MANIFOLD 3x2 INCLUDES  ~ 1 HIGH PRESSURE PLUG</t>
  </si>
  <si>
    <t>8 CYL MANIFOLD 4x2 INCLUDES  ~ 1 HIGH PRESSURE PLUG</t>
  </si>
  <si>
    <t>SUPPRESSION SYS 950 MANIFOLD ~ ASY 12 PORT 6x2 74 1/8 LG</t>
  </si>
  <si>
    <t>1 MANIFOLD ISOLATION BALL VLV~ ASSEMBLY KIT</t>
  </si>
  <si>
    <t>1 1/2 MANIFOLD ISOLATION BALL~ VLV ASSEMBLY KIT</t>
  </si>
  <si>
    <t>CYL STORE RACK 49L STRUCTURAL~ RED PAINTED 2 CYL 2x1</t>
  </si>
  <si>
    <t>CYL STORE RACK 49L STRUCTURAL~ RED PAINTED 3 CYL 3x1</t>
  </si>
  <si>
    <t>CYL STORE RACK 49L STRUCTURAL~ RED PAINTED 4 CYL 4x1        ~</t>
  </si>
  <si>
    <t>CYL STORE RACK 49L STRUCTURAL~ RED PAINTED 6 CYL 6x1        ~</t>
  </si>
  <si>
    <t>CYL STORE RACK 49L STRUCTURAL~ RED PAINTED 4 CYL 2x2</t>
  </si>
  <si>
    <t>CYL STORE RACK 49L STRUCTURAL~ RED PAINTED 6 CYL 3x2</t>
  </si>
  <si>
    <t>CYL STORE RACK 49L STRUCTURAL~ RED PAINTED 8 CYL 4x2</t>
  </si>
  <si>
    <t>CYL STORE RACK 49L STRUCTURAL~ RED PAINTED 12 PACK 6x2</t>
  </si>
  <si>
    <t>CYL STORE RACK 80L STRUCTURAL~ RED PAINTED 2 PACK 2x1</t>
  </si>
  <si>
    <t>CYL STORE RACK 80L STRUCTURAL~ RED PAINTED 3 CYL 3x1</t>
  </si>
  <si>
    <t>CYL STORE RACK 80L STRUCTURAL~ RED PAINTED 4 CYL 4x1</t>
  </si>
  <si>
    <t>CYL STORE RACK 80L STRUCTURAL~ RED PAINTED 6 CYL 6x1</t>
  </si>
  <si>
    <t>CYL STORE RACK 80L STRUCTURAL~ RED PAINTED 4 CYL 2x2</t>
  </si>
  <si>
    <t>CYL STORE RACK 80L STRUCTURAL~ RED PAINTED 6 CYL 3x2</t>
  </si>
  <si>
    <t>CYL STORE RACK 80L STRUCTURAL~ RED PAINTED 8 CYL 4x2</t>
  </si>
  <si>
    <t>CYL STORE RACK 80L STRUCTURAL~ RED PAINTED 12 CYL 6x2</t>
  </si>
  <si>
    <t>CYL STORAGE RACK 49L METAL   ~ FRAMING GLV 2 CYL 2x1</t>
  </si>
  <si>
    <t>CYL STORAGE RACK 49L METAL   ~ FRAMING GLV 3 CYL 3x1</t>
  </si>
  <si>
    <t>CYL STORAGE RACK 49L METAL   ~ FRAMING GLV 4 CYL 4x1</t>
  </si>
  <si>
    <t>CYL STORAGE RACK 49L METAL   ~ FRAMING GLV 6 CYL 6x1</t>
  </si>
  <si>
    <t>CYL STORAGE RACK 49L METAL   ~ FRAMING GLV 4 CYL 2x2</t>
  </si>
  <si>
    <t>CYL STORAGE RACK 49L METAL   ~ FRAMING GLV 6 CYL 3x2</t>
  </si>
  <si>
    <t>CYL STORAGE RACK 49L METAL   ~ FRAMING GLV 8 CYL 4x2</t>
  </si>
  <si>
    <t>CYL STORAGE RACK 49L METAL   ~ FRAMING GLV 12 CYL 6x2</t>
  </si>
  <si>
    <t>CYL STORAGE RACK 80L METAL   ~ FRAMING GLV 2 CYL 2x1</t>
  </si>
  <si>
    <t>CYL STORAGE RACK 80L METAL   ~ FRAMING GLV 3 CYL 3x1</t>
  </si>
  <si>
    <t>CYL STORAGE RACK 80L METAL   ~ FRAMING GLV 4 CYL 4x1</t>
  </si>
  <si>
    <t>CYL STORAGE RACK 80L METAL   ~ FRAMING GLV 6 CYL 6x1</t>
  </si>
  <si>
    <t>CYL STORAGE RACK 80L METAL   ~ FRAMING GLV 4 CYL 2x2</t>
  </si>
  <si>
    <t>CYL STORAGE RACK 80L METAL   ~ FRAMING GLV 6 CYL 3x2</t>
  </si>
  <si>
    <t>CYL STORAGE RACK 80L METAL   ~ FRAMING GLV 8 CYL 4x2</t>
  </si>
  <si>
    <t>CYL STORAGE RACK 80L METAL   ~ FRAMING GLV 12 CYL 6x2</t>
  </si>
  <si>
    <t>WATER TANK REGULATOR W/1/2x36~ HOSE</t>
  </si>
  <si>
    <t>Series 728 FireLock™ Ball Valve – 1” Threaded</t>
  </si>
  <si>
    <t>10 GAL WATER TANK RED W/TRIM</t>
  </si>
  <si>
    <t>30 GAL WATER TANK RED W/TRIM</t>
  </si>
  <si>
    <t>60 GAL WATER TANK RED W/TRIM ~ ASME AND FM APPROVED</t>
  </si>
  <si>
    <t>80 GAL WATER TANK RED W/TRIM</t>
  </si>
  <si>
    <t>120 GAL WATER TANK RED W/TRIM</t>
  </si>
  <si>
    <t>200 GAL WATER TANK RED W/TRIM</t>
  </si>
  <si>
    <t>400 GAL WATER TANK RED W/TRIM</t>
  </si>
  <si>
    <t>INSIDE ZONE ALARM VACATING   ~ PLACARD V1000/V2000</t>
  </si>
  <si>
    <t>ZONE EXTERNAL LOW OXYGEN     ~ CONDITION PLACARD V1000/V2000</t>
  </si>
  <si>
    <t>INSIDE ZONE WARNING LABEL    ~ V500/V1500 SYSTEMS</t>
  </si>
  <si>
    <t>OUTSIDE ZONE WARNING LABEL   ~ V500/V1500 SYSTEMS</t>
  </si>
  <si>
    <t>MANUAL PULL STATION PLACARD</t>
  </si>
  <si>
    <t>RACK PLACARD</t>
  </si>
  <si>
    <t>EMITTER CAP 1/4-1/2 STANDARD ~ STYLE EMITTER ORANGE</t>
  </si>
  <si>
    <t>EMITTER CAP 1/4-5/8 ESCUTCHEON STYLE EMITTER BLACK</t>
  </si>
  <si>
    <t>EMITTER CAP 5/8 STANDARD STYLE EMITTER ORANGE</t>
  </si>
  <si>
    <t>O RING KIT PRIMARY/SECONDARY</t>
  </si>
  <si>
    <t>DISCHARGE HOSE 49L/50L RT    ~ ANGLE 22.25 OAL</t>
  </si>
  <si>
    <t>DISCHARGE HOSE DOT 80L RT    ~ ANGLE 13.5 OAL</t>
  </si>
  <si>
    <t>DISCHARGE HOSE CHECK VALVE</t>
  </si>
  <si>
    <t>1/4 PILOT HOSE 11.8 IN F/ADJ ~ CYLINDERS</t>
  </si>
  <si>
    <t>1/4 PILOT HOSE 17.7 IN RIGHT ~ ANGLE FOR PRIMARY</t>
  </si>
  <si>
    <t>PILOT LINE TEE NIPPLE 1/4 BSP</t>
  </si>
  <si>
    <t>BLEED VALVE 1/4 END OF PILOT ~ LINE WITH CRUSH WASHER</t>
  </si>
  <si>
    <t>COPPER CRUSH WASHER FOR BLEED~ VALVE</t>
  </si>
  <si>
    <t>COPPER CRUSHED WASHER FOR    ~ VORTEX PRIMARY/SECONDARY GAUGE</t>
  </si>
  <si>
    <t>PRIMARY SOLENOID RELEASE ASY</t>
  </si>
  <si>
    <t>SNUBBER ASSEMBLY W/CRUSH WSR</t>
  </si>
  <si>
    <t>COPPER CRUSH WASHER F/SNUBBER~ ASY</t>
  </si>
  <si>
    <t>SECONDARY GAUGE ASSEMBLY</t>
  </si>
  <si>
    <t>SECONDARY GAUGE ASY W/PRESSURE SWITCH</t>
  </si>
  <si>
    <t>REPLACEMENT FUSE F/PCB 4 AMP</t>
  </si>
  <si>
    <t>1/2 NPT FEM UNION MSS SP-83  ~ CLASS 3000 ASTM A105 GLV STEEL</t>
  </si>
  <si>
    <t>12V 12 Ah Replacement Battery for Power Supply (2 required)</t>
  </si>
  <si>
    <t>115VAC BATTERY BACKUP POWER  ~ SUPPLY W/2 12 Ah BATTERIES</t>
  </si>
  <si>
    <t>220VAC BATTERY BACKUP POWER  ~ SUPPLY W/2 12Ah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</si>
</sst>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_(&quot;$&quot;* #,##0;_(&quot;$&quot;* \(#,##0\);_(&quot;$&quot;* &quot;-&quot;??\);_(@_)"/>
    <numFmt numFmtId="167" formatCode="_(&quot;$&quot;* #,##0&quot;/day&quot;_);_(&quot;$&quot;* \(#,##0&quot;/day&quot;\);_(&quot;$&quot;* &quot;-&quot;??&quot;/day&quot;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vertAlign val="superscript"/>
      <sz val="18"/>
      <name val="Times New Roman"/>
      <family val="1"/>
    </font>
    <font>
      <b/>
      <sz val="16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u/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color theme="0" tint="-0.14999847407452621"/>
      <name val="Calibri"/>
      <family val="2"/>
      <scheme val="minor"/>
    </font>
    <font>
      <b/>
      <i/>
      <sz val="12"/>
      <color indexed="10"/>
      <name val="Arial"/>
      <family val="2"/>
    </font>
    <font>
      <b/>
      <i/>
      <sz val="12"/>
      <color rgb="FFFF0000"/>
      <name val="Arial"/>
      <family val="2"/>
    </font>
    <font>
      <sz val="10"/>
      <name val="Times New Roman"/>
      <family val="1"/>
    </font>
    <font>
      <b/>
      <u/>
      <sz val="12"/>
      <color rgb="FFFF000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" fillId="0" borderId="0"/>
    <xf numFmtId="0" fontId="1" fillId="0" borderId="0"/>
  </cellStyleXfs>
  <cellXfs count="130">
    <xf numFmtId="0" fontId="0" fillId="0" borderId="0" xfId="0"/>
    <xf numFmtId="0" fontId="2" fillId="2" borderId="0" xfId="3" applyFill="1" applyAlignment="1" applyProtection="1">
      <alignment readingOrder="1"/>
      <protection hidden="1"/>
    </xf>
    <xf numFmtId="44" fontId="2" fillId="2" borderId="0" xfId="4" applyFill="1" applyAlignment="1" applyProtection="1">
      <alignment readingOrder="1"/>
      <protection hidden="1"/>
    </xf>
    <xf numFmtId="164" fontId="0" fillId="2" borderId="0" xfId="4" applyNumberFormat="1" applyFont="1" applyFill="1" applyAlignment="1" applyProtection="1">
      <alignment readingOrder="1"/>
      <protection hidden="1"/>
    </xf>
    <xf numFmtId="44" fontId="0" fillId="2" borderId="0" xfId="4" applyFont="1" applyFill="1" applyAlignment="1" applyProtection="1">
      <alignment readingOrder="1"/>
      <protection hidden="1"/>
    </xf>
    <xf numFmtId="0" fontId="0" fillId="3" borderId="0" xfId="0" applyFill="1"/>
    <xf numFmtId="0" fontId="0" fillId="2" borderId="0" xfId="0" applyFill="1"/>
    <xf numFmtId="165" fontId="0" fillId="2" borderId="0" xfId="0" applyNumberFormat="1" applyFill="1"/>
    <xf numFmtId="0" fontId="6" fillId="2" borderId="0" xfId="5" applyFill="1" applyAlignment="1" applyProtection="1">
      <alignment wrapText="1" readingOrder="1"/>
      <protection hidden="1"/>
    </xf>
    <xf numFmtId="165" fontId="2" fillId="2" borderId="0" xfId="3" applyNumberFormat="1" applyFill="1" applyAlignment="1" applyProtection="1">
      <alignment readingOrder="1"/>
      <protection hidden="1"/>
    </xf>
    <xf numFmtId="44" fontId="7" fillId="2" borderId="0" xfId="4" applyFont="1" applyFill="1" applyAlignment="1" applyProtection="1">
      <alignment horizontal="center" vertical="center" readingOrder="1"/>
      <protection hidden="1"/>
    </xf>
    <xf numFmtId="0" fontId="7" fillId="2" borderId="0" xfId="3" applyFont="1" applyFill="1" applyAlignment="1" applyProtection="1">
      <alignment horizontal="center" readingOrder="1"/>
      <protection hidden="1"/>
    </xf>
    <xf numFmtId="0" fontId="8" fillId="0" borderId="0" xfId="3" applyFont="1" applyAlignment="1" applyProtection="1">
      <alignment horizontal="right" wrapText="1" readingOrder="1"/>
      <protection hidden="1"/>
    </xf>
    <xf numFmtId="165" fontId="8" fillId="5" borderId="0" xfId="3" applyNumberFormat="1" applyFont="1" applyFill="1" applyAlignment="1" applyProtection="1">
      <alignment horizontal="left" wrapText="1" readingOrder="1"/>
      <protection hidden="1"/>
    </xf>
    <xf numFmtId="164" fontId="11" fillId="2" borderId="3" xfId="4" applyNumberFormat="1" applyFont="1" applyFill="1" applyBorder="1" applyAlignment="1" applyProtection="1">
      <alignment horizontal="center" vertical="center" readingOrder="1"/>
      <protection hidden="1"/>
    </xf>
    <xf numFmtId="2" fontId="2" fillId="5" borderId="3" xfId="3" applyNumberFormat="1" applyFill="1" applyBorder="1" applyAlignment="1" applyProtection="1">
      <alignment horizontal="center" vertical="center" readingOrder="1"/>
      <protection locked="0"/>
    </xf>
    <xf numFmtId="44" fontId="0" fillId="0" borderId="3" xfId="4" applyFont="1" applyFill="1" applyBorder="1" applyAlignment="1" applyProtection="1">
      <alignment horizontal="center" vertical="center" readingOrder="1"/>
      <protection hidden="1"/>
    </xf>
    <xf numFmtId="0" fontId="12" fillId="2" borderId="0" xfId="3" applyFont="1" applyFill="1" applyAlignment="1" applyProtection="1">
      <alignment readingOrder="1"/>
      <protection hidden="1"/>
    </xf>
    <xf numFmtId="165" fontId="12" fillId="2" borderId="0" xfId="3" applyNumberFormat="1" applyFont="1" applyFill="1" applyAlignment="1" applyProtection="1">
      <alignment readingOrder="1"/>
      <protection hidden="1"/>
    </xf>
    <xf numFmtId="0" fontId="7" fillId="2" borderId="1" xfId="3" applyFont="1" applyFill="1" applyBorder="1" applyAlignment="1" applyProtection="1">
      <alignment horizontal="center" wrapText="1" readingOrder="1"/>
      <protection hidden="1"/>
    </xf>
    <xf numFmtId="165" fontId="7" fillId="2" borderId="4" xfId="3" applyNumberFormat="1" applyFont="1" applyFill="1" applyBorder="1" applyAlignment="1" applyProtection="1">
      <alignment horizontal="center" wrapText="1" readingOrder="1"/>
      <protection hidden="1"/>
    </xf>
    <xf numFmtId="0" fontId="7" fillId="2" borderId="4" xfId="3" applyFont="1" applyFill="1" applyBorder="1" applyAlignment="1" applyProtection="1">
      <alignment horizontal="center" wrapText="1" readingOrder="1"/>
      <protection hidden="1"/>
    </xf>
    <xf numFmtId="44" fontId="7" fillId="6" borderId="5" xfId="4" applyFont="1" applyFill="1" applyBorder="1" applyAlignment="1" applyProtection="1">
      <alignment horizontal="center" wrapText="1" readingOrder="1"/>
      <protection hidden="1"/>
    </xf>
    <xf numFmtId="164" fontId="7" fillId="2" borderId="6" xfId="4" applyNumberFormat="1" applyFont="1" applyFill="1" applyBorder="1" applyAlignment="1" applyProtection="1">
      <alignment horizontal="center" wrapText="1" readingOrder="1"/>
      <protection hidden="1"/>
    </xf>
    <xf numFmtId="0" fontId="7" fillId="2" borderId="7" xfId="3" applyFont="1" applyFill="1" applyBorder="1" applyAlignment="1" applyProtection="1">
      <alignment horizontal="center" vertical="center" wrapText="1" readingOrder="1"/>
      <protection hidden="1"/>
    </xf>
    <xf numFmtId="44" fontId="7" fillId="2" borderId="8" xfId="4" applyFont="1" applyFill="1" applyBorder="1" applyAlignment="1" applyProtection="1">
      <alignment horizontal="center" vertical="center" wrapText="1" readingOrder="1"/>
      <protection hidden="1"/>
    </xf>
    <xf numFmtId="9" fontId="0" fillId="0" borderId="3" xfId="2" applyFont="1" applyFill="1" applyBorder="1"/>
    <xf numFmtId="0" fontId="13" fillId="0" borderId="0" xfId="0" applyFont="1" applyAlignment="1">
      <alignment horizontal="center"/>
    </xf>
    <xf numFmtId="165" fontId="7" fillId="2" borderId="9" xfId="3" applyNumberFormat="1" applyFont="1" applyFill="1" applyBorder="1" applyAlignment="1" applyProtection="1">
      <alignment horizontal="center" wrapText="1" readingOrder="1"/>
      <protection hidden="1"/>
    </xf>
    <xf numFmtId="0" fontId="7" fillId="2" borderId="9" xfId="3" applyFont="1" applyFill="1" applyBorder="1" applyAlignment="1" applyProtection="1">
      <alignment horizontal="center" wrapText="1" readingOrder="1"/>
      <protection hidden="1"/>
    </xf>
    <xf numFmtId="0" fontId="2" fillId="2" borderId="9" xfId="3" applyFill="1" applyBorder="1" applyAlignment="1" applyProtection="1">
      <alignment horizontal="center" wrapText="1" readingOrder="1"/>
      <protection hidden="1"/>
    </xf>
    <xf numFmtId="44" fontId="7" fillId="2" borderId="9" xfId="4" applyFont="1" applyFill="1" applyBorder="1" applyAlignment="1" applyProtection="1">
      <alignment horizontal="center" readingOrder="1"/>
      <protection hidden="1"/>
    </xf>
    <xf numFmtId="164" fontId="7" fillId="2" borderId="9" xfId="4" applyNumberFormat="1" applyFont="1" applyFill="1" applyBorder="1" applyAlignment="1" applyProtection="1">
      <alignment horizontal="center" wrapText="1" readingOrder="1"/>
      <protection hidden="1"/>
    </xf>
    <xf numFmtId="0" fontId="7" fillId="2" borderId="9" xfId="3" applyFont="1" applyFill="1" applyBorder="1" applyAlignment="1" applyProtection="1">
      <alignment horizontal="center" vertical="center" wrapText="1" readingOrder="1"/>
      <protection hidden="1"/>
    </xf>
    <xf numFmtId="44" fontId="7" fillId="2" borderId="2" xfId="4" applyFont="1" applyFill="1" applyBorder="1" applyAlignment="1" applyProtection="1">
      <alignment horizontal="center" vertical="center" wrapText="1" readingOrder="1"/>
      <protection hidden="1"/>
    </xf>
    <xf numFmtId="0" fontId="2" fillId="0" borderId="10" xfId="3" applyBorder="1" applyAlignment="1" applyProtection="1">
      <alignment horizontal="left" vertical="center" wrapText="1" readingOrder="1"/>
      <protection hidden="1"/>
    </xf>
    <xf numFmtId="165" fontId="2" fillId="0" borderId="10" xfId="3" applyNumberFormat="1" applyBorder="1" applyAlignment="1" applyProtection="1">
      <alignment horizontal="left" vertical="center" wrapText="1" readingOrder="1"/>
      <protection hidden="1"/>
    </xf>
    <xf numFmtId="0" fontId="2" fillId="0" borderId="11" xfId="3" applyBorder="1" applyAlignment="1" applyProtection="1">
      <alignment horizontal="center" vertical="center" readingOrder="1"/>
      <protection hidden="1"/>
    </xf>
    <xf numFmtId="0" fontId="2" fillId="5" borderId="11" xfId="3" applyFill="1" applyBorder="1" applyAlignment="1" applyProtection="1">
      <alignment horizontal="center" vertical="center" readingOrder="1"/>
      <protection locked="0"/>
    </xf>
    <xf numFmtId="44" fontId="2" fillId="0" borderId="10" xfId="1" applyFont="1" applyBorder="1" applyAlignment="1" applyProtection="1">
      <alignment horizontal="left" vertical="center" wrapText="1" readingOrder="1"/>
      <protection hidden="1"/>
    </xf>
    <xf numFmtId="164" fontId="2" fillId="0" borderId="12" xfId="4" applyNumberFormat="1" applyFill="1" applyBorder="1" applyAlignment="1" applyProtection="1">
      <alignment horizontal="left" vertical="center" readingOrder="1"/>
      <protection hidden="1"/>
    </xf>
    <xf numFmtId="44" fontId="2" fillId="0" borderId="13" xfId="3" applyNumberFormat="1" applyBorder="1" applyAlignment="1" applyProtection="1">
      <alignment horizontal="center" vertical="center" readingOrder="1"/>
      <protection hidden="1"/>
    </xf>
    <xf numFmtId="44" fontId="0" fillId="0" borderId="14" xfId="4" applyFont="1" applyFill="1" applyBorder="1" applyAlignment="1" applyProtection="1">
      <alignment horizontal="center" vertical="center" readingOrder="1"/>
      <protection hidden="1"/>
    </xf>
    <xf numFmtId="0" fontId="2" fillId="0" borderId="15" xfId="3" applyBorder="1" applyAlignment="1" applyProtection="1">
      <alignment horizontal="center" vertical="center" readingOrder="1"/>
      <protection hidden="1"/>
    </xf>
    <xf numFmtId="0" fontId="2" fillId="5" borderId="15" xfId="3" applyFill="1" applyBorder="1" applyAlignment="1" applyProtection="1">
      <alignment horizontal="center" vertical="center" readingOrder="1"/>
      <protection locked="0"/>
    </xf>
    <xf numFmtId="0" fontId="2" fillId="0" borderId="16" xfId="3" applyBorder="1" applyAlignment="1" applyProtection="1">
      <alignment horizontal="center" vertical="center" readingOrder="1"/>
      <protection hidden="1"/>
    </xf>
    <xf numFmtId="0" fontId="2" fillId="5" borderId="16" xfId="3" applyFill="1" applyBorder="1" applyAlignment="1" applyProtection="1">
      <alignment horizontal="center" vertical="center" readingOrder="1"/>
      <protection locked="0"/>
    </xf>
    <xf numFmtId="0" fontId="2" fillId="5" borderId="11" xfId="3" applyFill="1" applyBorder="1" applyAlignment="1" applyProtection="1">
      <alignment horizontal="center" readingOrder="1"/>
      <protection locked="0"/>
    </xf>
    <xf numFmtId="44" fontId="0" fillId="0" borderId="17" xfId="4" applyFont="1" applyFill="1" applyBorder="1" applyAlignment="1" applyProtection="1">
      <alignment horizontal="center" vertical="center" readingOrder="1"/>
      <protection hidden="1"/>
    </xf>
    <xf numFmtId="0" fontId="17" fillId="0" borderId="18" xfId="3" applyFont="1" applyBorder="1" applyAlignment="1" applyProtection="1">
      <alignment horizontal="left" vertical="center" wrapText="1" readingOrder="1"/>
      <protection hidden="1"/>
    </xf>
    <xf numFmtId="165" fontId="2" fillId="0" borderId="15" xfId="3" applyNumberFormat="1" applyBorder="1" applyAlignment="1" applyProtection="1">
      <alignment horizontal="center" vertical="center" readingOrder="1"/>
      <protection hidden="1"/>
    </xf>
    <xf numFmtId="44" fontId="2" fillId="0" borderId="12" xfId="4" applyFill="1" applyBorder="1" applyAlignment="1" applyProtection="1">
      <alignment horizontal="left" vertical="center" readingOrder="1"/>
      <protection hidden="1"/>
    </xf>
    <xf numFmtId="44" fontId="0" fillId="0" borderId="19" xfId="4" applyFont="1" applyFill="1" applyBorder="1" applyAlignment="1" applyProtection="1">
      <alignment horizontal="center" vertical="center" readingOrder="1"/>
      <protection hidden="1"/>
    </xf>
    <xf numFmtId="0" fontId="2" fillId="0" borderId="20" xfId="3" applyBorder="1" applyAlignment="1" applyProtection="1">
      <alignment horizontal="center" vertical="center" readingOrder="1"/>
      <protection hidden="1"/>
    </xf>
    <xf numFmtId="0" fontId="2" fillId="5" borderId="20" xfId="3" applyFill="1" applyBorder="1" applyAlignment="1" applyProtection="1">
      <alignment horizontal="center" vertical="center" readingOrder="1"/>
      <protection locked="0"/>
    </xf>
    <xf numFmtId="44" fontId="0" fillId="0" borderId="21" xfId="4" applyFont="1" applyFill="1" applyBorder="1" applyAlignment="1" applyProtection="1">
      <alignment horizontal="center" vertical="center" readingOrder="1"/>
      <protection hidden="1"/>
    </xf>
    <xf numFmtId="0" fontId="2" fillId="0" borderId="11" xfId="7" applyBorder="1" applyAlignment="1" applyProtection="1">
      <alignment horizontal="center" vertical="center" readingOrder="1"/>
      <protection hidden="1"/>
    </xf>
    <xf numFmtId="0" fontId="2" fillId="0" borderId="15" xfId="7" applyBorder="1" applyAlignment="1" applyProtection="1">
      <alignment horizontal="center" vertical="center" readingOrder="1"/>
      <protection hidden="1"/>
    </xf>
    <xf numFmtId="165" fontId="2" fillId="0" borderId="25" xfId="3" quotePrefix="1" applyNumberFormat="1" applyBorder="1" applyAlignment="1" applyProtection="1">
      <alignment horizontal="center" vertical="center" readingOrder="1"/>
      <protection hidden="1"/>
    </xf>
    <xf numFmtId="0" fontId="2" fillId="0" borderId="25" xfId="3" applyBorder="1" applyAlignment="1" applyProtection="1">
      <alignment horizontal="center" vertical="center" readingOrder="1"/>
      <protection hidden="1"/>
    </xf>
    <xf numFmtId="165" fontId="2" fillId="0" borderId="16" xfId="3" quotePrefix="1" applyNumberFormat="1" applyBorder="1" applyAlignment="1" applyProtection="1">
      <alignment horizontal="center" vertical="center" readingOrder="1"/>
      <protection hidden="1"/>
    </xf>
    <xf numFmtId="2" fontId="2" fillId="0" borderId="11" xfId="3" applyNumberFormat="1" applyBorder="1" applyAlignment="1" applyProtection="1">
      <alignment horizontal="center" vertical="center" readingOrder="1"/>
      <protection hidden="1"/>
    </xf>
    <xf numFmtId="0" fontId="2" fillId="5" borderId="11" xfId="3" applyFill="1" applyBorder="1" applyAlignment="1" applyProtection="1">
      <alignment horizontal="center" vertical="center" wrapText="1" readingOrder="1"/>
      <protection locked="0"/>
    </xf>
    <xf numFmtId="2" fontId="2" fillId="0" borderId="15" xfId="3" applyNumberFormat="1" applyBorder="1" applyAlignment="1" applyProtection="1">
      <alignment horizontal="center" vertical="center" readingOrder="1"/>
      <protection hidden="1"/>
    </xf>
    <xf numFmtId="0" fontId="2" fillId="5" borderId="15" xfId="3" applyFill="1" applyBorder="1" applyAlignment="1" applyProtection="1">
      <alignment horizontal="center" vertical="center" wrapText="1" readingOrder="1"/>
      <protection locked="0"/>
    </xf>
    <xf numFmtId="0" fontId="2" fillId="5" borderId="16" xfId="3" applyFill="1" applyBorder="1" applyAlignment="1" applyProtection="1">
      <alignment horizontal="center" vertical="center" wrapText="1" readingOrder="1"/>
      <protection locked="0"/>
    </xf>
    <xf numFmtId="2" fontId="2" fillId="0" borderId="26" xfId="3" applyNumberFormat="1" applyBorder="1" applyAlignment="1" applyProtection="1">
      <alignment horizontal="center" vertical="center" readingOrder="1"/>
      <protection hidden="1"/>
    </xf>
    <xf numFmtId="2" fontId="2" fillId="0" borderId="16" xfId="3" applyNumberFormat="1" applyBorder="1" applyAlignment="1" applyProtection="1">
      <alignment horizontal="center" vertical="center" readingOrder="1"/>
      <protection hidden="1"/>
    </xf>
    <xf numFmtId="0" fontId="2" fillId="0" borderId="11" xfId="8" applyFont="1" applyBorder="1" applyAlignment="1" applyProtection="1">
      <alignment horizontal="center" vertical="center" readingOrder="1"/>
      <protection hidden="1"/>
    </xf>
    <xf numFmtId="0" fontId="2" fillId="0" borderId="15" xfId="8" applyFont="1" applyBorder="1" applyAlignment="1" applyProtection="1">
      <alignment horizontal="center" vertical="center" readingOrder="1"/>
      <protection hidden="1"/>
    </xf>
    <xf numFmtId="0" fontId="2" fillId="0" borderId="16" xfId="7" applyBorder="1" applyAlignment="1" applyProtection="1">
      <alignment horizontal="center" vertical="center" readingOrder="1"/>
      <protection hidden="1"/>
    </xf>
    <xf numFmtId="44" fontId="0" fillId="0" borderId="27" xfId="4" applyFont="1" applyFill="1" applyBorder="1" applyAlignment="1" applyProtection="1">
      <alignment horizontal="center" vertical="center" readingOrder="1"/>
      <protection hidden="1"/>
    </xf>
    <xf numFmtId="0" fontId="2" fillId="0" borderId="11" xfId="7" applyBorder="1" applyAlignment="1" applyProtection="1">
      <alignment horizontal="center" vertical="center" wrapText="1" readingOrder="1"/>
      <protection hidden="1"/>
    </xf>
    <xf numFmtId="0" fontId="2" fillId="5" borderId="11" xfId="3" applyFill="1" applyBorder="1" applyAlignment="1" applyProtection="1">
      <alignment horizontal="center" wrapText="1" readingOrder="1"/>
      <protection locked="0"/>
    </xf>
    <xf numFmtId="0" fontId="2" fillId="0" borderId="15" xfId="7" applyBorder="1" applyAlignment="1" applyProtection="1">
      <alignment horizontal="center" vertical="center" wrapText="1" readingOrder="1"/>
      <protection hidden="1"/>
    </xf>
    <xf numFmtId="0" fontId="2" fillId="5" borderId="15" xfId="3" applyFill="1" applyBorder="1" applyAlignment="1" applyProtection="1">
      <alignment horizontal="center" wrapText="1" readingOrder="1"/>
      <protection locked="0"/>
    </xf>
    <xf numFmtId="0" fontId="2" fillId="5" borderId="25" xfId="3" applyFill="1" applyBorder="1" applyAlignment="1" applyProtection="1">
      <alignment horizontal="center" vertical="center" readingOrder="1"/>
      <protection locked="0"/>
    </xf>
    <xf numFmtId="0" fontId="2" fillId="0" borderId="28" xfId="3" applyBorder="1" applyAlignment="1" applyProtection="1">
      <alignment horizontal="left" vertical="center" wrapText="1" readingOrder="1"/>
      <protection hidden="1"/>
    </xf>
    <xf numFmtId="165" fontId="2" fillId="0" borderId="29" xfId="3" applyNumberFormat="1" applyBorder="1" applyAlignment="1" applyProtection="1">
      <alignment horizontal="center" vertical="center" readingOrder="1"/>
      <protection hidden="1"/>
    </xf>
    <xf numFmtId="0" fontId="2" fillId="0" borderId="29" xfId="3" applyBorder="1" applyAlignment="1" applyProtection="1">
      <alignment horizontal="center" vertical="center" readingOrder="1"/>
      <protection hidden="1"/>
    </xf>
    <xf numFmtId="0" fontId="2" fillId="5" borderId="29" xfId="3" applyFill="1" applyBorder="1" applyAlignment="1" applyProtection="1">
      <alignment horizontal="center" vertical="center" readingOrder="1"/>
      <protection locked="0"/>
    </xf>
    <xf numFmtId="166" fontId="2" fillId="0" borderId="30" xfId="4" applyNumberFormat="1" applyFill="1" applyBorder="1" applyAlignment="1" applyProtection="1">
      <alignment horizontal="left" vertical="center" readingOrder="1"/>
      <protection hidden="1"/>
    </xf>
    <xf numFmtId="44" fontId="2" fillId="0" borderId="31" xfId="4" applyFill="1" applyBorder="1" applyAlignment="1" applyProtection="1">
      <alignment horizontal="center" vertical="center" readingOrder="1"/>
      <protection hidden="1"/>
    </xf>
    <xf numFmtId="0" fontId="2" fillId="0" borderId="32" xfId="3" applyBorder="1" applyAlignment="1" applyProtection="1">
      <alignment horizontal="left" vertical="center" wrapText="1" readingOrder="1"/>
      <protection hidden="1"/>
    </xf>
    <xf numFmtId="165" fontId="2" fillId="0" borderId="33" xfId="3" applyNumberFormat="1" applyBorder="1" applyAlignment="1" applyProtection="1">
      <alignment horizontal="center" vertical="center" readingOrder="1"/>
      <protection hidden="1"/>
    </xf>
    <xf numFmtId="0" fontId="2" fillId="0" borderId="33" xfId="3" applyBorder="1" applyAlignment="1" applyProtection="1">
      <alignment horizontal="center" vertical="center" readingOrder="1"/>
      <protection hidden="1"/>
    </xf>
    <xf numFmtId="0" fontId="2" fillId="5" borderId="33" xfId="3" applyFill="1" applyBorder="1" applyAlignment="1" applyProtection="1">
      <alignment horizontal="center" vertical="center" readingOrder="1"/>
      <protection locked="0"/>
    </xf>
    <xf numFmtId="167" fontId="2" fillId="0" borderId="34" xfId="4" applyNumberFormat="1" applyFill="1" applyBorder="1" applyAlignment="1" applyProtection="1">
      <alignment horizontal="left" vertical="center" readingOrder="1"/>
      <protection hidden="1"/>
    </xf>
    <xf numFmtId="44" fontId="2" fillId="0" borderId="35" xfId="4" applyFill="1" applyBorder="1" applyAlignment="1" applyProtection="1">
      <alignment horizontal="center" vertical="center" readingOrder="1"/>
      <protection hidden="1"/>
    </xf>
    <xf numFmtId="165" fontId="0" fillId="0" borderId="0" xfId="0" applyNumberFormat="1"/>
    <xf numFmtId="0" fontId="2" fillId="0" borderId="1" xfId="6" applyFont="1" applyBorder="1" applyAlignment="1" applyProtection="1">
      <alignment horizontal="center" wrapText="1" readingOrder="1"/>
      <protection hidden="1"/>
    </xf>
    <xf numFmtId="0" fontId="2" fillId="0" borderId="9" xfId="6" applyFont="1" applyBorder="1" applyAlignment="1" applyProtection="1">
      <alignment horizontal="center" wrapText="1" readingOrder="1"/>
      <protection hidden="1"/>
    </xf>
    <xf numFmtId="0" fontId="2" fillId="0" borderId="2" xfId="6" applyFont="1" applyBorder="1" applyAlignment="1" applyProtection="1">
      <alignment horizontal="center" wrapText="1" readingOrder="1"/>
      <protection hidden="1"/>
    </xf>
    <xf numFmtId="0" fontId="14" fillId="2" borderId="1" xfId="3" applyFont="1" applyFill="1" applyBorder="1" applyAlignment="1" applyProtection="1">
      <alignment horizontal="center" vertical="center" wrapText="1" readingOrder="1"/>
      <protection hidden="1"/>
    </xf>
    <xf numFmtId="0" fontId="14" fillId="2" borderId="9" xfId="3" applyFont="1" applyFill="1" applyBorder="1" applyAlignment="1" applyProtection="1">
      <alignment horizontal="center" vertical="center" wrapText="1" readingOrder="1"/>
      <protection hidden="1"/>
    </xf>
    <xf numFmtId="0" fontId="14" fillId="2" borderId="2" xfId="3" applyFont="1" applyFill="1" applyBorder="1" applyAlignment="1" applyProtection="1">
      <alignment horizontal="center" vertical="center" wrapText="1" readingOrder="1"/>
      <protection hidden="1"/>
    </xf>
    <xf numFmtId="0" fontId="14" fillId="0" borderId="1" xfId="3" applyFont="1" applyBorder="1" applyAlignment="1" applyProtection="1">
      <alignment horizontal="center" vertical="center" wrapText="1" readingOrder="1"/>
      <protection hidden="1"/>
    </xf>
    <xf numFmtId="0" fontId="14" fillId="0" borderId="9" xfId="3" applyFont="1" applyBorder="1" applyAlignment="1" applyProtection="1">
      <alignment horizontal="center" vertical="center" wrapText="1" readingOrder="1"/>
      <protection hidden="1"/>
    </xf>
    <xf numFmtId="0" fontId="14" fillId="0" borderId="2" xfId="3" applyFont="1" applyBorder="1" applyAlignment="1" applyProtection="1">
      <alignment horizontal="center" vertical="center" wrapText="1" readingOrder="1"/>
      <protection hidden="1"/>
    </xf>
    <xf numFmtId="0" fontId="18" fillId="7" borderId="22" xfId="3" applyFont="1" applyFill="1" applyBorder="1" applyAlignment="1" applyProtection="1">
      <alignment horizontal="center" vertical="center" readingOrder="1"/>
      <protection hidden="1"/>
    </xf>
    <xf numFmtId="0" fontId="18" fillId="7" borderId="23" xfId="3" applyFont="1" applyFill="1" applyBorder="1" applyAlignment="1" applyProtection="1">
      <alignment horizontal="center" vertical="center" readingOrder="1"/>
      <protection hidden="1"/>
    </xf>
    <xf numFmtId="0" fontId="18" fillId="7" borderId="24" xfId="3" applyFont="1" applyFill="1" applyBorder="1" applyAlignment="1" applyProtection="1">
      <alignment horizontal="center" vertical="center" readingOrder="1"/>
      <protection hidden="1"/>
    </xf>
    <xf numFmtId="0" fontId="18" fillId="2" borderId="1" xfId="3" applyFont="1" applyFill="1" applyBorder="1" applyAlignment="1" applyProtection="1">
      <alignment horizontal="center" vertical="center" readingOrder="1"/>
      <protection hidden="1"/>
    </xf>
    <xf numFmtId="0" fontId="18" fillId="2" borderId="9" xfId="3" applyFont="1" applyFill="1" applyBorder="1" applyAlignment="1" applyProtection="1">
      <alignment horizontal="center" vertical="center" readingOrder="1"/>
      <protection hidden="1"/>
    </xf>
    <xf numFmtId="0" fontId="18" fillId="2" borderId="2" xfId="3" applyFont="1" applyFill="1" applyBorder="1" applyAlignment="1" applyProtection="1">
      <alignment horizontal="center" vertical="center" readingOrder="1"/>
      <protection hidden="1"/>
    </xf>
    <xf numFmtId="0" fontId="14" fillId="2" borderId="1" xfId="3" applyFont="1" applyFill="1" applyBorder="1" applyAlignment="1" applyProtection="1">
      <alignment horizontal="center" wrapText="1" readingOrder="1"/>
      <protection hidden="1"/>
    </xf>
    <xf numFmtId="0" fontId="14" fillId="2" borderId="9" xfId="3" applyFont="1" applyFill="1" applyBorder="1" applyAlignment="1" applyProtection="1">
      <alignment horizontal="center" wrapText="1" readingOrder="1"/>
      <protection hidden="1"/>
    </xf>
    <xf numFmtId="0" fontId="14" fillId="2" borderId="2" xfId="3" applyFont="1" applyFill="1" applyBorder="1" applyAlignment="1" applyProtection="1">
      <alignment horizontal="center" wrapText="1" readingOrder="1"/>
      <protection hidden="1"/>
    </xf>
    <xf numFmtId="0" fontId="19" fillId="0" borderId="1" xfId="3" applyFont="1" applyBorder="1" applyAlignment="1" applyProtection="1">
      <alignment horizontal="center" wrapText="1" readingOrder="1"/>
      <protection hidden="1"/>
    </xf>
    <xf numFmtId="0" fontId="19" fillId="0" borderId="9" xfId="3" applyFont="1" applyBorder="1" applyAlignment="1" applyProtection="1">
      <alignment horizontal="center" wrapText="1" readingOrder="1"/>
      <protection hidden="1"/>
    </xf>
    <xf numFmtId="0" fontId="19" fillId="0" borderId="2" xfId="3" applyFont="1" applyBorder="1" applyAlignment="1" applyProtection="1">
      <alignment horizontal="center" wrapText="1" readingOrder="1"/>
      <protection hidden="1"/>
    </xf>
    <xf numFmtId="0" fontId="2" fillId="0" borderId="1" xfId="3" applyBorder="1" applyAlignment="1" applyProtection="1">
      <alignment horizontal="center" vertical="center" wrapText="1" readingOrder="1"/>
      <protection hidden="1"/>
    </xf>
    <xf numFmtId="0" fontId="2" fillId="0" borderId="9" xfId="3" applyBorder="1" applyAlignment="1" applyProtection="1">
      <alignment horizontal="center" vertical="center" wrapText="1" readingOrder="1"/>
      <protection hidden="1"/>
    </xf>
    <xf numFmtId="0" fontId="2" fillId="0" borderId="2" xfId="3" applyBorder="1" applyAlignment="1" applyProtection="1">
      <alignment horizontal="center" vertical="center" wrapText="1" readingOrder="1"/>
      <protection hidden="1"/>
    </xf>
    <xf numFmtId="0" fontId="15" fillId="0" borderId="1" xfId="3" applyFont="1" applyBorder="1" applyAlignment="1" applyProtection="1">
      <alignment horizontal="center" vertical="center" wrapText="1" readingOrder="1"/>
      <protection hidden="1"/>
    </xf>
    <xf numFmtId="0" fontId="15" fillId="0" borderId="9" xfId="3" applyFont="1" applyBorder="1" applyAlignment="1" applyProtection="1">
      <alignment horizontal="center" vertical="center" wrapText="1" readingOrder="1"/>
      <protection hidden="1"/>
    </xf>
    <xf numFmtId="0" fontId="15" fillId="0" borderId="2" xfId="3" applyFont="1" applyBorder="1" applyAlignment="1" applyProtection="1">
      <alignment horizontal="center" vertical="center" wrapText="1" readingOrder="1"/>
      <protection hidden="1"/>
    </xf>
    <xf numFmtId="0" fontId="17" fillId="0" borderId="1" xfId="3" applyFont="1" applyBorder="1" applyAlignment="1" applyProtection="1">
      <alignment horizontal="left" vertical="center" wrapText="1" readingOrder="1"/>
      <protection hidden="1"/>
    </xf>
    <xf numFmtId="0" fontId="17" fillId="0" borderId="9" xfId="3" applyFont="1" applyBorder="1" applyAlignment="1" applyProtection="1">
      <alignment horizontal="left" vertical="center" wrapText="1" readingOrder="1"/>
      <protection hidden="1"/>
    </xf>
    <xf numFmtId="0" fontId="17" fillId="0" borderId="2" xfId="3" applyFont="1" applyBorder="1" applyAlignment="1" applyProtection="1">
      <alignment horizontal="left" vertical="center" wrapText="1" readingOrder="1"/>
      <protection hidden="1"/>
    </xf>
    <xf numFmtId="0" fontId="18" fillId="7" borderId="1" xfId="3" applyFont="1" applyFill="1" applyBorder="1" applyAlignment="1" applyProtection="1">
      <alignment horizontal="center" vertical="center" wrapText="1" readingOrder="1"/>
      <protection hidden="1"/>
    </xf>
    <xf numFmtId="0" fontId="18" fillId="7" borderId="9" xfId="3" applyFont="1" applyFill="1" applyBorder="1" applyAlignment="1" applyProtection="1">
      <alignment horizontal="center" vertical="center" wrapText="1" readingOrder="1"/>
      <protection hidden="1"/>
    </xf>
    <xf numFmtId="0" fontId="18" fillId="7" borderId="2" xfId="3" applyFont="1" applyFill="1" applyBorder="1" applyAlignment="1" applyProtection="1">
      <alignment horizontal="center" vertical="center" wrapText="1" readingOrder="1"/>
      <protection hidden="1"/>
    </xf>
    <xf numFmtId="0" fontId="18" fillId="7" borderId="22" xfId="6" applyFont="1" applyFill="1" applyBorder="1" applyAlignment="1" applyProtection="1">
      <alignment horizontal="center" vertical="center" wrapText="1" readingOrder="1"/>
      <protection hidden="1"/>
    </xf>
    <xf numFmtId="0" fontId="18" fillId="7" borderId="23" xfId="6" applyFont="1" applyFill="1" applyBorder="1" applyAlignment="1" applyProtection="1">
      <alignment horizontal="center" vertical="center" wrapText="1" readingOrder="1"/>
      <protection hidden="1"/>
    </xf>
    <xf numFmtId="0" fontId="18" fillId="7" borderId="24" xfId="6" applyFont="1" applyFill="1" applyBorder="1" applyAlignment="1" applyProtection="1">
      <alignment horizontal="center" vertical="center" wrapText="1" readingOrder="1"/>
      <protection hidden="1"/>
    </xf>
    <xf numFmtId="0" fontId="3" fillId="0" borderId="1" xfId="3" applyFont="1" applyBorder="1" applyAlignment="1" applyProtection="1">
      <alignment horizontal="center" vertical="center" wrapText="1" readingOrder="1"/>
      <protection hidden="1"/>
    </xf>
    <xf numFmtId="0" fontId="3" fillId="0" borderId="2" xfId="3" applyFont="1" applyBorder="1" applyAlignment="1" applyProtection="1">
      <alignment horizontal="center" vertical="center" wrapText="1" readingOrder="1"/>
      <protection hidden="1"/>
    </xf>
    <xf numFmtId="0" fontId="5" fillId="4" borderId="1" xfId="3" applyFont="1" applyFill="1" applyBorder="1" applyAlignment="1" applyProtection="1">
      <alignment horizontal="center" wrapText="1" readingOrder="1"/>
      <protection hidden="1"/>
    </xf>
    <xf numFmtId="0" fontId="5" fillId="4" borderId="2" xfId="3" applyFont="1" applyFill="1" applyBorder="1" applyAlignment="1" applyProtection="1">
      <alignment horizontal="center" wrapText="1" readingOrder="1"/>
      <protection hidden="1"/>
    </xf>
  </cellXfs>
  <cellStyles count="9">
    <cellStyle name="Currency" xfId="1" builtinId="4"/>
    <cellStyle name="Currency 2" xfId="4" xr:uid="{265F7D68-6993-475C-B6DD-C2B0F035EC5D}"/>
    <cellStyle name="Hyperlink_Vortex List Price Sheet_031111" xfId="5" xr:uid="{94DC82A1-AB87-4DEA-88A5-86FF4E15DB5C}"/>
    <cellStyle name="Normal" xfId="0" builtinId="0"/>
    <cellStyle name="Normal 2" xfId="3" xr:uid="{C83199A1-68D1-472E-84AF-398DBF50E297}"/>
    <cellStyle name="Normal 2 2" xfId="7" xr:uid="{692EB48A-39B4-4351-AD55-659340F5D5E1}"/>
    <cellStyle name="Normal 4 2" xfId="8" xr:uid="{381ADFB0-E1E6-49EF-A2E7-040BF9E19EBB}"/>
    <cellStyle name="Normal_Qty Sheet" xfId="6" xr:uid="{7711423D-118B-4F82-9755-961056BF407A}"/>
    <cellStyle name="Percent" xfId="2" builtinId="5"/>
  </cellStyles>
  <dxfs count="2"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1274766</xdr:colOff>
      <xdr:row>0</xdr:row>
      <xdr:rowOff>0</xdr:rowOff>
    </xdr:from>
    <xdr:ext cx="5335942" cy="1162050"/>
    <xdr:pic>
      <xdr:nvPicPr>
        <xdr:cNvPr id="2" name="Picture 1">
          <a:extLst>
            <a:ext uri="{FF2B5EF4-FFF2-40B4-BE49-F238E27FC236}">
              <a16:creationId xmlns:a16="http://schemas.microsoft.com/office/drawing/2014/main" id="{31528349-3BA3-4B64-965D-C2468A093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9766" y="0"/>
          <a:ext cx="5335942" cy="1162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A081-4773-4406-846E-1FC7761E7473}">
  <sheetPr>
    <tabColor theme="4" tint="0.79998168889431442"/>
  </sheetPr>
  <dimension ref="B1:O230"/>
  <sheetViews>
    <sheetView tabSelected="1" workbookViewId="0">
      <selection activeCell="G6" sqref="G6"/>
    </sheetView>
  </sheetViews>
  <sheetFormatPr defaultRowHeight="15" x14ac:dyDescent="0.25"/>
  <cols>
    <col min="1" max="1" width="1.28515625" customWidth="1"/>
    <col min="2" max="2" width="74.85546875" customWidth="1"/>
    <col min="3" max="3" width="9.5703125" style="89" bestFit="1" customWidth="1"/>
    <col min="4" max="4" width="27.140625" customWidth="1"/>
    <col min="5" max="9" width="14.42578125" customWidth="1"/>
    <col min="12" max="12" width="1" style="5" customWidth="1"/>
  </cols>
  <sheetData>
    <row r="1" spans="2:15" ht="67.5" customHeight="1" thickBot="1" x14ac:dyDescent="0.3">
      <c r="B1" s="126" t="s">
        <v>0</v>
      </c>
      <c r="C1" s="127"/>
      <c r="D1" s="1"/>
      <c r="E1" s="1"/>
      <c r="F1" s="2"/>
      <c r="G1" s="3"/>
      <c r="H1" s="1"/>
      <c r="I1" s="4"/>
    </row>
    <row r="2" spans="2:15" ht="21" thickBot="1" x14ac:dyDescent="0.35">
      <c r="B2" s="128" t="s">
        <v>1</v>
      </c>
      <c r="C2" s="129"/>
      <c r="D2" s="1"/>
      <c r="E2" s="1"/>
      <c r="F2" s="2"/>
      <c r="G2" s="3"/>
      <c r="H2" s="1"/>
      <c r="I2" s="4"/>
    </row>
    <row r="3" spans="2:15" ht="19.5" customHeight="1" x14ac:dyDescent="0.25">
      <c r="B3" s="6"/>
      <c r="C3" s="7"/>
      <c r="D3" s="1"/>
      <c r="E3" s="1"/>
      <c r="F3" s="2"/>
      <c r="G3" s="3"/>
      <c r="H3" s="1"/>
      <c r="I3" s="4"/>
    </row>
    <row r="4" spans="2:15" ht="15.75" thickBot="1" x14ac:dyDescent="0.3">
      <c r="B4" s="8"/>
      <c r="C4" s="9"/>
      <c r="D4" s="1"/>
      <c r="E4" s="10" t="s">
        <v>2</v>
      </c>
      <c r="F4" s="6"/>
      <c r="G4" s="11" t="s">
        <v>3</v>
      </c>
      <c r="H4" s="4"/>
      <c r="I4" s="10" t="s">
        <v>4</v>
      </c>
    </row>
    <row r="5" spans="2:15" ht="15.75" thickBot="1" x14ac:dyDescent="0.3">
      <c r="B5" s="12" t="s">
        <v>5</v>
      </c>
      <c r="C5" s="13" t="s">
        <v>6</v>
      </c>
      <c r="E5" s="14">
        <f>SUM(G11:G502)</f>
        <v>0</v>
      </c>
      <c r="G5" s="15">
        <v>0.37</v>
      </c>
      <c r="I5" s="16">
        <f>E5*G5</f>
        <v>0</v>
      </c>
    </row>
    <row r="6" spans="2:15" ht="16.5" thickBot="1" x14ac:dyDescent="0.3">
      <c r="B6" s="17"/>
      <c r="C6" s="18"/>
      <c r="D6" s="17"/>
      <c r="E6" s="17"/>
      <c r="F6" s="17"/>
      <c r="G6" s="17"/>
      <c r="H6" s="17"/>
      <c r="I6" s="17"/>
    </row>
    <row r="7" spans="2:15" ht="27" thickBot="1" x14ac:dyDescent="0.3">
      <c r="B7" s="19" t="s">
        <v>7</v>
      </c>
      <c r="C7" s="20" t="s">
        <v>8</v>
      </c>
      <c r="D7" s="21" t="s">
        <v>9</v>
      </c>
      <c r="E7" s="21" t="s">
        <v>10</v>
      </c>
      <c r="F7" s="22" t="s">
        <v>11</v>
      </c>
      <c r="G7" s="23" t="s">
        <v>12</v>
      </c>
      <c r="H7" s="24" t="s">
        <v>13</v>
      </c>
      <c r="I7" s="25" t="s">
        <v>14</v>
      </c>
      <c r="N7" s="26"/>
      <c r="O7" s="27"/>
    </row>
    <row r="8" spans="2:15" ht="18.75" customHeight="1" thickBot="1" x14ac:dyDescent="0.3">
      <c r="B8" s="19"/>
      <c r="C8" s="28"/>
      <c r="D8" s="29"/>
      <c r="E8" s="30"/>
      <c r="F8" s="31"/>
      <c r="G8" s="32"/>
      <c r="H8" s="33"/>
      <c r="I8" s="34"/>
    </row>
    <row r="9" spans="2:15" ht="18.75" customHeight="1" thickBot="1" x14ac:dyDescent="0.3">
      <c r="B9" s="93" t="s">
        <v>15</v>
      </c>
      <c r="C9" s="94"/>
      <c r="D9" s="94"/>
      <c r="E9" s="94"/>
      <c r="F9" s="94"/>
      <c r="G9" s="94"/>
      <c r="H9" s="94"/>
      <c r="I9" s="95"/>
    </row>
    <row r="10" spans="2:15" ht="18.75" customHeight="1" thickBot="1" x14ac:dyDescent="0.3">
      <c r="B10" s="93" t="s">
        <v>16</v>
      </c>
      <c r="C10" s="94"/>
      <c r="D10" s="94"/>
      <c r="E10" s="94"/>
      <c r="F10" s="94"/>
      <c r="G10" s="94"/>
      <c r="H10" s="94"/>
      <c r="I10" s="95"/>
    </row>
    <row r="11" spans="2:15" ht="18.75" customHeight="1" x14ac:dyDescent="0.25">
      <c r="B11" s="35" t="s">
        <v>220</v>
      </c>
      <c r="C11" s="36">
        <v>0.75</v>
      </c>
      <c r="D11" s="37" t="s">
        <v>17</v>
      </c>
      <c r="E11" s="38"/>
      <c r="F11" s="39">
        <v>2019</v>
      </c>
      <c r="G11" s="40">
        <v>0</v>
      </c>
      <c r="H11" s="41">
        <v>1514.25</v>
      </c>
      <c r="I11" s="42">
        <v>0</v>
      </c>
    </row>
    <row r="12" spans="2:15" ht="18.75" customHeight="1" x14ac:dyDescent="0.25">
      <c r="B12" s="35" t="s">
        <v>221</v>
      </c>
      <c r="C12" s="36">
        <v>0.75</v>
      </c>
      <c r="D12" s="37" t="s">
        <v>18</v>
      </c>
      <c r="E12" s="38"/>
      <c r="F12" s="39">
        <v>2018</v>
      </c>
      <c r="G12" s="40">
        <v>0</v>
      </c>
      <c r="H12" s="41">
        <v>1513.5</v>
      </c>
      <c r="I12" s="42">
        <v>0</v>
      </c>
    </row>
    <row r="13" spans="2:15" ht="18.75" customHeight="1" x14ac:dyDescent="0.25">
      <c r="B13" s="35" t="s">
        <v>222</v>
      </c>
      <c r="C13" s="36">
        <v>0.2</v>
      </c>
      <c r="D13" s="43" t="s">
        <v>19</v>
      </c>
      <c r="E13" s="44"/>
      <c r="F13" s="39">
        <v>2657.5</v>
      </c>
      <c r="G13" s="40">
        <v>0</v>
      </c>
      <c r="H13" s="41">
        <v>1993.125</v>
      </c>
      <c r="I13" s="42">
        <v>0</v>
      </c>
    </row>
    <row r="14" spans="2:15" ht="18.75" customHeight="1" thickBot="1" x14ac:dyDescent="0.3">
      <c r="B14" s="35" t="s">
        <v>223</v>
      </c>
      <c r="C14" s="36">
        <v>0.75</v>
      </c>
      <c r="D14" s="45" t="s">
        <v>20</v>
      </c>
      <c r="E14" s="46"/>
      <c r="F14" s="39">
        <v>2558</v>
      </c>
      <c r="G14" s="40">
        <v>0</v>
      </c>
      <c r="H14" s="41">
        <v>1918.5</v>
      </c>
      <c r="I14" s="42">
        <v>0</v>
      </c>
    </row>
    <row r="15" spans="2:15" ht="18.75" customHeight="1" thickBot="1" x14ac:dyDescent="0.3">
      <c r="B15" s="114" t="s">
        <v>21</v>
      </c>
      <c r="C15" s="115"/>
      <c r="D15" s="115"/>
      <c r="E15" s="115"/>
      <c r="F15" s="115"/>
      <c r="G15" s="115"/>
      <c r="H15" s="115"/>
      <c r="I15" s="116"/>
    </row>
    <row r="16" spans="2:15" ht="18.75" customHeight="1" x14ac:dyDescent="0.25">
      <c r="B16" s="35" t="s">
        <v>224</v>
      </c>
      <c r="C16" s="36">
        <v>0.6</v>
      </c>
      <c r="D16" s="37" t="s">
        <v>22</v>
      </c>
      <c r="E16" s="38"/>
      <c r="F16" s="39">
        <v>2966</v>
      </c>
      <c r="G16" s="40">
        <v>0</v>
      </c>
      <c r="H16" s="41">
        <v>2224.5</v>
      </c>
      <c r="I16" s="42">
        <v>0</v>
      </c>
    </row>
    <row r="17" spans="2:9" ht="18.75" customHeight="1" x14ac:dyDescent="0.25">
      <c r="B17" s="35" t="s">
        <v>225</v>
      </c>
      <c r="C17" s="36">
        <v>0.65</v>
      </c>
      <c r="D17" s="43" t="s">
        <v>23</v>
      </c>
      <c r="E17" s="44"/>
      <c r="F17" s="39">
        <v>1969.5</v>
      </c>
      <c r="G17" s="40">
        <v>0</v>
      </c>
      <c r="H17" s="41">
        <v>1477.125</v>
      </c>
      <c r="I17" s="42">
        <v>0</v>
      </c>
    </row>
    <row r="18" spans="2:9" ht="18.75" customHeight="1" x14ac:dyDescent="0.25">
      <c r="B18" s="35" t="s">
        <v>226</v>
      </c>
      <c r="C18" s="36">
        <v>2</v>
      </c>
      <c r="D18" s="37" t="s">
        <v>24</v>
      </c>
      <c r="E18" s="38"/>
      <c r="F18" s="39">
        <v>2657</v>
      </c>
      <c r="G18" s="40">
        <v>0</v>
      </c>
      <c r="H18" s="41">
        <v>1992.75</v>
      </c>
      <c r="I18" s="42">
        <v>0</v>
      </c>
    </row>
    <row r="19" spans="2:9" ht="18.75" customHeight="1" x14ac:dyDescent="0.25">
      <c r="B19" s="35" t="s">
        <v>227</v>
      </c>
      <c r="C19" s="36">
        <v>0.65</v>
      </c>
      <c r="D19" s="43" t="s">
        <v>25</v>
      </c>
      <c r="E19" s="44"/>
      <c r="F19" s="39">
        <v>1968.5</v>
      </c>
      <c r="G19" s="40">
        <v>0</v>
      </c>
      <c r="H19" s="41">
        <v>1476.375</v>
      </c>
      <c r="I19" s="42">
        <v>0</v>
      </c>
    </row>
    <row r="20" spans="2:9" ht="18.75" customHeight="1" x14ac:dyDescent="0.25">
      <c r="B20" s="35" t="s">
        <v>228</v>
      </c>
      <c r="C20" s="36">
        <v>0.1</v>
      </c>
      <c r="D20" s="43" t="s">
        <v>26</v>
      </c>
      <c r="E20" s="44"/>
      <c r="F20" s="39">
        <v>2966</v>
      </c>
      <c r="G20" s="40">
        <v>0</v>
      </c>
      <c r="H20" s="41">
        <v>2224.5</v>
      </c>
      <c r="I20" s="42">
        <v>0</v>
      </c>
    </row>
    <row r="21" spans="2:9" ht="18.75" customHeight="1" thickBot="1" x14ac:dyDescent="0.3">
      <c r="B21" s="35" t="s">
        <v>229</v>
      </c>
      <c r="C21" s="36">
        <v>2</v>
      </c>
      <c r="D21" s="45" t="s">
        <v>27</v>
      </c>
      <c r="E21" s="46"/>
      <c r="F21" s="39">
        <v>5074</v>
      </c>
      <c r="G21" s="40">
        <v>0</v>
      </c>
      <c r="H21" s="41">
        <v>3805.5</v>
      </c>
      <c r="I21" s="42">
        <v>0</v>
      </c>
    </row>
    <row r="22" spans="2:9" ht="18.75" customHeight="1" thickBot="1" x14ac:dyDescent="0.3">
      <c r="B22" s="114" t="s">
        <v>28</v>
      </c>
      <c r="C22" s="115"/>
      <c r="D22" s="115"/>
      <c r="E22" s="115"/>
      <c r="F22" s="115"/>
      <c r="G22" s="115"/>
      <c r="H22" s="115"/>
      <c r="I22" s="116"/>
    </row>
    <row r="23" spans="2:9" ht="18.75" customHeight="1" x14ac:dyDescent="0.25">
      <c r="B23" s="35" t="s">
        <v>230</v>
      </c>
      <c r="C23" s="36">
        <v>2</v>
      </c>
      <c r="D23" s="37" t="s">
        <v>29</v>
      </c>
      <c r="E23" s="38"/>
      <c r="F23" s="39">
        <v>2374</v>
      </c>
      <c r="G23" s="40">
        <v>0</v>
      </c>
      <c r="H23" s="41">
        <v>1780.5</v>
      </c>
      <c r="I23" s="42">
        <v>0</v>
      </c>
    </row>
    <row r="24" spans="2:9" ht="18.75" customHeight="1" x14ac:dyDescent="0.25">
      <c r="B24" s="35" t="s">
        <v>231</v>
      </c>
      <c r="C24" s="36">
        <v>0.6</v>
      </c>
      <c r="D24" s="43" t="s">
        <v>30</v>
      </c>
      <c r="E24" s="44"/>
      <c r="F24" s="39">
        <v>1477.5</v>
      </c>
      <c r="G24" s="40">
        <v>0</v>
      </c>
      <c r="H24" s="41">
        <v>1108.125</v>
      </c>
      <c r="I24" s="42">
        <v>0</v>
      </c>
    </row>
    <row r="25" spans="2:9" ht="18.75" customHeight="1" x14ac:dyDescent="0.25">
      <c r="B25" s="35" t="s">
        <v>232</v>
      </c>
      <c r="C25" s="36">
        <v>0.6</v>
      </c>
      <c r="D25" s="43" t="s">
        <v>31</v>
      </c>
      <c r="E25" s="44"/>
      <c r="F25" s="39">
        <v>1477.5</v>
      </c>
      <c r="G25" s="40">
        <v>0</v>
      </c>
      <c r="H25" s="41">
        <v>1108.125</v>
      </c>
      <c r="I25" s="42">
        <v>0</v>
      </c>
    </row>
    <row r="26" spans="2:9" ht="18.75" customHeight="1" thickBot="1" x14ac:dyDescent="0.3">
      <c r="B26" s="35" t="s">
        <v>233</v>
      </c>
      <c r="C26" s="36">
        <v>3</v>
      </c>
      <c r="D26" s="45" t="s">
        <v>32</v>
      </c>
      <c r="E26" s="46"/>
      <c r="F26" s="39">
        <v>5074</v>
      </c>
      <c r="G26" s="40">
        <v>0</v>
      </c>
      <c r="H26" s="41">
        <v>3805.5</v>
      </c>
      <c r="I26" s="42">
        <v>0</v>
      </c>
    </row>
    <row r="27" spans="2:9" ht="18.75" customHeight="1" thickBot="1" x14ac:dyDescent="0.3">
      <c r="B27" s="114" t="s">
        <v>33</v>
      </c>
      <c r="C27" s="115"/>
      <c r="D27" s="115"/>
      <c r="E27" s="115"/>
      <c r="F27" s="115"/>
      <c r="G27" s="115"/>
      <c r="H27" s="115"/>
      <c r="I27" s="116"/>
    </row>
    <row r="28" spans="2:9" ht="18.75" customHeight="1" x14ac:dyDescent="0.25">
      <c r="B28" s="35" t="s">
        <v>234</v>
      </c>
      <c r="C28" s="36">
        <v>0.6</v>
      </c>
      <c r="D28" s="37" t="s">
        <v>34</v>
      </c>
      <c r="E28" s="38"/>
      <c r="F28" s="39">
        <v>1565</v>
      </c>
      <c r="G28" s="40">
        <v>0</v>
      </c>
      <c r="H28" s="41">
        <v>1173.75</v>
      </c>
      <c r="I28" s="42">
        <v>0</v>
      </c>
    </row>
    <row r="29" spans="2:9" ht="18.75" customHeight="1" x14ac:dyDescent="0.25">
      <c r="B29" s="35" t="s">
        <v>235</v>
      </c>
      <c r="C29" s="36">
        <v>0.6</v>
      </c>
      <c r="D29" s="37" t="s">
        <v>35</v>
      </c>
      <c r="E29" s="38"/>
      <c r="F29" s="39">
        <v>1123.5</v>
      </c>
      <c r="G29" s="40">
        <v>0</v>
      </c>
      <c r="H29" s="41">
        <v>842.625</v>
      </c>
      <c r="I29" s="42">
        <v>0</v>
      </c>
    </row>
    <row r="30" spans="2:9" ht="18.75" customHeight="1" x14ac:dyDescent="0.25">
      <c r="B30" s="35" t="s">
        <v>236</v>
      </c>
      <c r="C30" s="36">
        <v>0.75</v>
      </c>
      <c r="D30" s="43" t="s">
        <v>36</v>
      </c>
      <c r="E30" s="44"/>
      <c r="F30" s="39">
        <v>3383</v>
      </c>
      <c r="G30" s="40">
        <v>0</v>
      </c>
      <c r="H30" s="41">
        <v>2537.25</v>
      </c>
      <c r="I30" s="42">
        <v>0</v>
      </c>
    </row>
    <row r="31" spans="2:9" ht="18.75" customHeight="1" thickBot="1" x14ac:dyDescent="0.3">
      <c r="B31" s="35" t="s">
        <v>237</v>
      </c>
      <c r="C31" s="36">
        <v>0.3</v>
      </c>
      <c r="D31" s="45" t="s">
        <v>37</v>
      </c>
      <c r="E31" s="46"/>
      <c r="F31" s="39">
        <v>2086.5</v>
      </c>
      <c r="G31" s="40">
        <v>0</v>
      </c>
      <c r="H31" s="41">
        <v>1564.875</v>
      </c>
      <c r="I31" s="42">
        <v>0</v>
      </c>
    </row>
    <row r="32" spans="2:9" ht="18.75" customHeight="1" thickBot="1" x14ac:dyDescent="0.3">
      <c r="B32" s="114" t="s">
        <v>38</v>
      </c>
      <c r="C32" s="115"/>
      <c r="D32" s="115"/>
      <c r="E32" s="115"/>
      <c r="F32" s="115"/>
      <c r="G32" s="115"/>
      <c r="H32" s="115"/>
      <c r="I32" s="116"/>
    </row>
    <row r="33" spans="2:9" ht="18.75" customHeight="1" x14ac:dyDescent="0.25">
      <c r="B33" s="35" t="s">
        <v>238</v>
      </c>
      <c r="C33" s="36">
        <v>0.85</v>
      </c>
      <c r="D33" s="37" t="s">
        <v>39</v>
      </c>
      <c r="E33" s="47"/>
      <c r="F33" s="39">
        <v>1936.5</v>
      </c>
      <c r="G33" s="40">
        <v>0</v>
      </c>
      <c r="H33" s="41">
        <v>1452.375</v>
      </c>
      <c r="I33" s="42">
        <v>0</v>
      </c>
    </row>
    <row r="34" spans="2:9" ht="18.75" customHeight="1" x14ac:dyDescent="0.25">
      <c r="B34" s="35" t="s">
        <v>239</v>
      </c>
      <c r="C34" s="36">
        <v>0.9</v>
      </c>
      <c r="D34" s="43" t="s">
        <v>40</v>
      </c>
      <c r="E34" s="44"/>
      <c r="F34" s="39">
        <v>1318.5</v>
      </c>
      <c r="G34" s="40">
        <v>0</v>
      </c>
      <c r="H34" s="41">
        <v>988.875</v>
      </c>
      <c r="I34" s="42">
        <v>0</v>
      </c>
    </row>
    <row r="35" spans="2:9" ht="18.75" customHeight="1" x14ac:dyDescent="0.25">
      <c r="B35" s="35" t="s">
        <v>240</v>
      </c>
      <c r="C35" s="36">
        <v>0.4</v>
      </c>
      <c r="D35" s="37" t="s">
        <v>41</v>
      </c>
      <c r="E35" s="38"/>
      <c r="F35" s="39">
        <v>2657.5</v>
      </c>
      <c r="G35" s="40">
        <v>0</v>
      </c>
      <c r="H35" s="41">
        <v>1993.125</v>
      </c>
      <c r="I35" s="42">
        <v>0</v>
      </c>
    </row>
    <row r="36" spans="2:9" ht="18.75" customHeight="1" x14ac:dyDescent="0.25">
      <c r="B36" s="35" t="s">
        <v>241</v>
      </c>
      <c r="C36" s="36">
        <v>0.8</v>
      </c>
      <c r="D36" s="43" t="s">
        <v>42</v>
      </c>
      <c r="E36" s="44"/>
      <c r="F36" s="39">
        <v>1935.5</v>
      </c>
      <c r="G36" s="40">
        <v>0</v>
      </c>
      <c r="H36" s="41">
        <v>1451.625</v>
      </c>
      <c r="I36" s="42">
        <v>0</v>
      </c>
    </row>
    <row r="37" spans="2:9" ht="18.75" customHeight="1" x14ac:dyDescent="0.25">
      <c r="B37" s="35" t="s">
        <v>242</v>
      </c>
      <c r="C37" s="36">
        <v>0.85</v>
      </c>
      <c r="D37" s="43" t="s">
        <v>43</v>
      </c>
      <c r="E37" s="44"/>
      <c r="F37" s="39">
        <v>1318.5</v>
      </c>
      <c r="G37" s="40">
        <v>0</v>
      </c>
      <c r="H37" s="41">
        <v>988.875</v>
      </c>
      <c r="I37" s="42">
        <v>0</v>
      </c>
    </row>
    <row r="38" spans="2:9" ht="18.75" customHeight="1" thickBot="1" x14ac:dyDescent="0.3">
      <c r="B38" s="35" t="s">
        <v>243</v>
      </c>
      <c r="C38" s="36">
        <v>3.15</v>
      </c>
      <c r="D38" s="45" t="s">
        <v>44</v>
      </c>
      <c r="E38" s="46"/>
      <c r="F38" s="39">
        <v>3383.5</v>
      </c>
      <c r="G38" s="40">
        <v>0</v>
      </c>
      <c r="H38" s="41">
        <v>2537.625</v>
      </c>
      <c r="I38" s="42">
        <v>0</v>
      </c>
    </row>
    <row r="39" spans="2:9" ht="18.75" customHeight="1" thickBot="1" x14ac:dyDescent="0.3">
      <c r="B39" s="96" t="s">
        <v>45</v>
      </c>
      <c r="C39" s="97"/>
      <c r="D39" s="97"/>
      <c r="E39" s="97"/>
      <c r="F39" s="97"/>
      <c r="G39" s="97"/>
      <c r="H39" s="97"/>
      <c r="I39" s="98"/>
    </row>
    <row r="40" spans="2:9" ht="18.75" customHeight="1" x14ac:dyDescent="0.25">
      <c r="B40" s="35" t="s">
        <v>244</v>
      </c>
      <c r="C40" s="36">
        <v>2.25</v>
      </c>
      <c r="D40" s="37" t="s">
        <v>46</v>
      </c>
      <c r="E40" s="38"/>
      <c r="F40" s="39">
        <v>1165.5</v>
      </c>
      <c r="G40" s="40">
        <v>0</v>
      </c>
      <c r="H40" s="41">
        <v>874.125</v>
      </c>
      <c r="I40" s="42">
        <v>0</v>
      </c>
    </row>
    <row r="41" spans="2:9" ht="18.75" customHeight="1" x14ac:dyDescent="0.25">
      <c r="B41" s="35" t="s">
        <v>245</v>
      </c>
      <c r="C41" s="36">
        <v>2.25</v>
      </c>
      <c r="D41" s="43" t="s">
        <v>47</v>
      </c>
      <c r="E41" s="44"/>
      <c r="F41" s="39">
        <v>1384.5</v>
      </c>
      <c r="G41" s="40">
        <v>0</v>
      </c>
      <c r="H41" s="41">
        <v>1038.375</v>
      </c>
      <c r="I41" s="42">
        <v>0</v>
      </c>
    </row>
    <row r="42" spans="2:9" ht="18.75" customHeight="1" x14ac:dyDescent="0.25">
      <c r="B42" s="35" t="s">
        <v>246</v>
      </c>
      <c r="C42" s="36">
        <v>2.25</v>
      </c>
      <c r="D42" s="43" t="s">
        <v>48</v>
      </c>
      <c r="E42" s="44"/>
      <c r="F42" s="39">
        <v>1165.5</v>
      </c>
      <c r="G42" s="40">
        <v>0</v>
      </c>
      <c r="H42" s="41">
        <v>874.125</v>
      </c>
      <c r="I42" s="42">
        <v>0</v>
      </c>
    </row>
    <row r="43" spans="2:9" ht="18.75" customHeight="1" x14ac:dyDescent="0.25">
      <c r="B43" s="35" t="s">
        <v>247</v>
      </c>
      <c r="C43" s="36">
        <v>2.25</v>
      </c>
      <c r="D43" s="43" t="s">
        <v>49</v>
      </c>
      <c r="E43" s="44"/>
      <c r="F43" s="39">
        <v>1384.5</v>
      </c>
      <c r="G43" s="40">
        <v>0</v>
      </c>
      <c r="H43" s="41">
        <v>1038.375</v>
      </c>
      <c r="I43" s="42">
        <v>0</v>
      </c>
    </row>
    <row r="44" spans="2:9" ht="18.75" customHeight="1" x14ac:dyDescent="0.25">
      <c r="B44" s="35" t="s">
        <v>248</v>
      </c>
      <c r="C44" s="36">
        <v>2.25</v>
      </c>
      <c r="D44" s="43" t="s">
        <v>50</v>
      </c>
      <c r="E44" s="44"/>
      <c r="F44" s="39">
        <v>1165.5</v>
      </c>
      <c r="G44" s="40">
        <v>0</v>
      </c>
      <c r="H44" s="41">
        <v>874.125</v>
      </c>
      <c r="I44" s="42">
        <v>0</v>
      </c>
    </row>
    <row r="45" spans="2:9" ht="18.75" customHeight="1" x14ac:dyDescent="0.25">
      <c r="B45" s="35" t="s">
        <v>249</v>
      </c>
      <c r="C45" s="36">
        <v>2.25</v>
      </c>
      <c r="D45" s="43" t="s">
        <v>51</v>
      </c>
      <c r="E45" s="44"/>
      <c r="F45" s="39">
        <v>1384.5</v>
      </c>
      <c r="G45" s="40">
        <v>0</v>
      </c>
      <c r="H45" s="41">
        <v>1038.375</v>
      </c>
      <c r="I45" s="42">
        <v>0</v>
      </c>
    </row>
    <row r="46" spans="2:9" ht="18.75" customHeight="1" x14ac:dyDescent="0.25">
      <c r="B46" s="35" t="s">
        <v>250</v>
      </c>
      <c r="C46" s="36">
        <v>2.25</v>
      </c>
      <c r="D46" s="43" t="s">
        <v>52</v>
      </c>
      <c r="E46" s="44"/>
      <c r="F46" s="39">
        <v>1165.5</v>
      </c>
      <c r="G46" s="40">
        <v>0</v>
      </c>
      <c r="H46" s="41">
        <v>874.125</v>
      </c>
      <c r="I46" s="42">
        <v>0</v>
      </c>
    </row>
    <row r="47" spans="2:9" ht="18.75" customHeight="1" x14ac:dyDescent="0.25">
      <c r="B47" s="35" t="s">
        <v>251</v>
      </c>
      <c r="C47" s="36">
        <v>2.25</v>
      </c>
      <c r="D47" s="43" t="s">
        <v>53</v>
      </c>
      <c r="E47" s="44"/>
      <c r="F47" s="39">
        <v>1384.5</v>
      </c>
      <c r="G47" s="40">
        <v>0</v>
      </c>
      <c r="H47" s="41">
        <v>1038.375</v>
      </c>
      <c r="I47" s="42">
        <v>0</v>
      </c>
    </row>
    <row r="48" spans="2:9" ht="18.75" customHeight="1" x14ac:dyDescent="0.25">
      <c r="B48" s="35" t="s">
        <v>252</v>
      </c>
      <c r="C48" s="36">
        <v>2.25</v>
      </c>
      <c r="D48" s="43" t="s">
        <v>54</v>
      </c>
      <c r="E48" s="44"/>
      <c r="F48" s="39">
        <v>1165.5</v>
      </c>
      <c r="G48" s="40">
        <v>0</v>
      </c>
      <c r="H48" s="41">
        <v>874.125</v>
      </c>
      <c r="I48" s="42">
        <v>0</v>
      </c>
    </row>
    <row r="49" spans="2:9" ht="18.75" customHeight="1" thickBot="1" x14ac:dyDescent="0.3">
      <c r="B49" s="35" t="s">
        <v>253</v>
      </c>
      <c r="C49" s="36">
        <v>2.25</v>
      </c>
      <c r="D49" s="45" t="s">
        <v>55</v>
      </c>
      <c r="E49" s="46"/>
      <c r="F49" s="39">
        <v>1384.5</v>
      </c>
      <c r="G49" s="40">
        <v>0</v>
      </c>
      <c r="H49" s="41">
        <v>1038.375</v>
      </c>
      <c r="I49" s="42">
        <v>0</v>
      </c>
    </row>
    <row r="50" spans="2:9" ht="18.75" customHeight="1" thickBot="1" x14ac:dyDescent="0.3">
      <c r="B50" s="90"/>
      <c r="C50" s="91"/>
      <c r="D50" s="91"/>
      <c r="E50" s="91"/>
      <c r="F50" s="91"/>
      <c r="G50" s="91"/>
      <c r="H50" s="91"/>
      <c r="I50" s="92"/>
    </row>
    <row r="51" spans="2:9" ht="18.75" customHeight="1" thickBot="1" x14ac:dyDescent="0.3">
      <c r="B51" s="96" t="s">
        <v>56</v>
      </c>
      <c r="C51" s="97"/>
      <c r="D51" s="97"/>
      <c r="E51" s="97"/>
      <c r="F51" s="97"/>
      <c r="G51" s="97"/>
      <c r="H51" s="97"/>
      <c r="I51" s="98"/>
    </row>
    <row r="52" spans="2:9" ht="18.75" customHeight="1" thickBot="1" x14ac:dyDescent="0.3">
      <c r="B52" s="96" t="s">
        <v>57</v>
      </c>
      <c r="C52" s="97"/>
      <c r="D52" s="97"/>
      <c r="E52" s="97"/>
      <c r="F52" s="97"/>
      <c r="G52" s="97"/>
      <c r="H52" s="97"/>
      <c r="I52" s="98"/>
    </row>
    <row r="53" spans="2:9" ht="18.75" customHeight="1" thickBot="1" x14ac:dyDescent="0.3">
      <c r="B53" s="117" t="s">
        <v>58</v>
      </c>
      <c r="C53" s="118"/>
      <c r="D53" s="118"/>
      <c r="E53" s="118"/>
      <c r="F53" s="118"/>
      <c r="G53" s="118"/>
      <c r="H53" s="118"/>
      <c r="I53" s="119"/>
    </row>
    <row r="54" spans="2:9" ht="18.75" customHeight="1" x14ac:dyDescent="0.25">
      <c r="B54" s="35" t="s">
        <v>254</v>
      </c>
      <c r="C54" s="36">
        <v>102</v>
      </c>
      <c r="D54" s="37" t="s">
        <v>59</v>
      </c>
      <c r="E54" s="38"/>
      <c r="F54" s="39">
        <v>53893</v>
      </c>
      <c r="G54" s="40">
        <v>0</v>
      </c>
      <c r="H54" s="41">
        <v>40419.75</v>
      </c>
      <c r="I54" s="42">
        <v>0</v>
      </c>
    </row>
    <row r="55" spans="2:9" ht="18.75" customHeight="1" x14ac:dyDescent="0.25">
      <c r="B55" s="35" t="s">
        <v>255</v>
      </c>
      <c r="C55" s="36">
        <v>102</v>
      </c>
      <c r="D55" s="43" t="s">
        <v>60</v>
      </c>
      <c r="E55" s="44"/>
      <c r="F55" s="39">
        <v>53894.5</v>
      </c>
      <c r="G55" s="40">
        <v>0</v>
      </c>
      <c r="H55" s="41">
        <v>40420.875</v>
      </c>
      <c r="I55" s="48">
        <v>0</v>
      </c>
    </row>
    <row r="56" spans="2:9" ht="18.75" customHeight="1" x14ac:dyDescent="0.25">
      <c r="B56" s="35" t="s">
        <v>256</v>
      </c>
      <c r="C56" s="36">
        <v>158</v>
      </c>
      <c r="D56" s="43" t="s">
        <v>61</v>
      </c>
      <c r="E56" s="44"/>
      <c r="F56" s="39">
        <v>53891</v>
      </c>
      <c r="G56" s="40">
        <v>0</v>
      </c>
      <c r="H56" s="41">
        <v>40418.25</v>
      </c>
      <c r="I56" s="48">
        <v>0</v>
      </c>
    </row>
    <row r="57" spans="2:9" ht="18.75" customHeight="1" x14ac:dyDescent="0.25">
      <c r="B57" s="35" t="s">
        <v>257</v>
      </c>
      <c r="C57" s="36">
        <v>102</v>
      </c>
      <c r="D57" s="43" t="s">
        <v>62</v>
      </c>
      <c r="E57" s="44"/>
      <c r="F57" s="39">
        <v>53891</v>
      </c>
      <c r="G57" s="40">
        <v>0</v>
      </c>
      <c r="H57" s="41">
        <v>40418.25</v>
      </c>
      <c r="I57" s="48">
        <v>0</v>
      </c>
    </row>
    <row r="58" spans="2:9" ht="18.75" customHeight="1" x14ac:dyDescent="0.25">
      <c r="B58" s="35" t="s">
        <v>258</v>
      </c>
      <c r="C58" s="36">
        <v>158</v>
      </c>
      <c r="D58" s="43" t="s">
        <v>63</v>
      </c>
      <c r="E58" s="44"/>
      <c r="F58" s="39">
        <v>53891</v>
      </c>
      <c r="G58" s="40">
        <v>0</v>
      </c>
      <c r="H58" s="41">
        <v>40418.25</v>
      </c>
      <c r="I58" s="48">
        <v>0</v>
      </c>
    </row>
    <row r="59" spans="2:9" ht="18.75" customHeight="1" x14ac:dyDescent="0.25">
      <c r="B59" s="35" t="s">
        <v>259</v>
      </c>
      <c r="C59" s="36">
        <v>158</v>
      </c>
      <c r="D59" s="43" t="s">
        <v>64</v>
      </c>
      <c r="E59" s="44"/>
      <c r="F59" s="39">
        <v>53861.5</v>
      </c>
      <c r="G59" s="40">
        <v>0</v>
      </c>
      <c r="H59" s="41">
        <v>40396.125</v>
      </c>
      <c r="I59" s="48">
        <v>0</v>
      </c>
    </row>
    <row r="60" spans="2:9" ht="18.75" customHeight="1" x14ac:dyDescent="0.25">
      <c r="B60" s="35" t="s">
        <v>260</v>
      </c>
      <c r="C60" s="36">
        <v>102</v>
      </c>
      <c r="D60" s="43" t="s">
        <v>65</v>
      </c>
      <c r="E60" s="44"/>
      <c r="F60" s="39">
        <v>53891</v>
      </c>
      <c r="G60" s="40">
        <v>0</v>
      </c>
      <c r="H60" s="41">
        <v>40418.25</v>
      </c>
      <c r="I60" s="48">
        <v>0</v>
      </c>
    </row>
    <row r="61" spans="2:9" ht="18.75" customHeight="1" x14ac:dyDescent="0.25">
      <c r="B61" s="35" t="s">
        <v>261</v>
      </c>
      <c r="C61" s="36">
        <v>158</v>
      </c>
      <c r="D61" s="43" t="s">
        <v>66</v>
      </c>
      <c r="E61" s="44"/>
      <c r="F61" s="39">
        <v>53891</v>
      </c>
      <c r="G61" s="40">
        <v>0</v>
      </c>
      <c r="H61" s="41">
        <v>40418.25</v>
      </c>
      <c r="I61" s="48">
        <v>0</v>
      </c>
    </row>
    <row r="62" spans="2:9" ht="18.75" customHeight="1" x14ac:dyDescent="0.25">
      <c r="B62" s="49" t="s">
        <v>67</v>
      </c>
      <c r="C62" s="50"/>
      <c r="D62" s="43"/>
      <c r="E62" s="43"/>
      <c r="F62" s="51"/>
      <c r="G62" s="40"/>
      <c r="H62" s="41"/>
      <c r="I62" s="48"/>
    </row>
    <row r="63" spans="2:9" ht="18.75" customHeight="1" x14ac:dyDescent="0.25">
      <c r="B63" s="35" t="s">
        <v>262</v>
      </c>
      <c r="C63" s="36">
        <v>170</v>
      </c>
      <c r="D63" s="43" t="s">
        <v>68</v>
      </c>
      <c r="E63" s="44"/>
      <c r="F63" s="39">
        <v>54648</v>
      </c>
      <c r="G63" s="40">
        <v>0</v>
      </c>
      <c r="H63" s="41">
        <v>40986</v>
      </c>
      <c r="I63" s="48">
        <v>0</v>
      </c>
    </row>
    <row r="64" spans="2:9" ht="18.75" customHeight="1" x14ac:dyDescent="0.25">
      <c r="B64" s="35" t="s">
        <v>263</v>
      </c>
      <c r="C64" s="36">
        <v>102</v>
      </c>
      <c r="D64" s="43" t="s">
        <v>69</v>
      </c>
      <c r="E64" s="44"/>
      <c r="F64" s="39">
        <v>54648</v>
      </c>
      <c r="G64" s="40">
        <v>0</v>
      </c>
      <c r="H64" s="41">
        <v>40986</v>
      </c>
      <c r="I64" s="48">
        <v>0</v>
      </c>
    </row>
    <row r="65" spans="2:9" ht="18.75" customHeight="1" x14ac:dyDescent="0.25">
      <c r="B65" s="35" t="s">
        <v>264</v>
      </c>
      <c r="C65" s="36">
        <v>170</v>
      </c>
      <c r="D65" s="43" t="s">
        <v>70</v>
      </c>
      <c r="E65" s="44"/>
      <c r="F65" s="39">
        <v>54648</v>
      </c>
      <c r="G65" s="40">
        <v>0</v>
      </c>
      <c r="H65" s="41">
        <v>40986</v>
      </c>
      <c r="I65" s="48">
        <v>0</v>
      </c>
    </row>
    <row r="66" spans="2:9" ht="18.75" customHeight="1" x14ac:dyDescent="0.25">
      <c r="B66" s="35" t="s">
        <v>265</v>
      </c>
      <c r="C66" s="36">
        <v>170</v>
      </c>
      <c r="D66" s="43" t="s">
        <v>71</v>
      </c>
      <c r="E66" s="44"/>
      <c r="F66" s="39">
        <v>54648</v>
      </c>
      <c r="G66" s="40">
        <v>0</v>
      </c>
      <c r="H66" s="41">
        <v>40986</v>
      </c>
      <c r="I66" s="48">
        <v>0</v>
      </c>
    </row>
    <row r="67" spans="2:9" ht="18.75" customHeight="1" x14ac:dyDescent="0.25">
      <c r="B67" s="35" t="s">
        <v>266</v>
      </c>
      <c r="C67" s="36">
        <v>102</v>
      </c>
      <c r="D67" s="43" t="s">
        <v>72</v>
      </c>
      <c r="E67" s="44"/>
      <c r="F67" s="39">
        <v>54648</v>
      </c>
      <c r="G67" s="40">
        <v>0</v>
      </c>
      <c r="H67" s="41">
        <v>40986</v>
      </c>
      <c r="I67" s="48">
        <v>0</v>
      </c>
    </row>
    <row r="68" spans="2:9" ht="18.75" customHeight="1" thickBot="1" x14ac:dyDescent="0.3">
      <c r="B68" s="35" t="s">
        <v>267</v>
      </c>
      <c r="C68" s="36">
        <v>170</v>
      </c>
      <c r="D68" s="45" t="s">
        <v>73</v>
      </c>
      <c r="E68" s="46"/>
      <c r="F68" s="39">
        <v>54648</v>
      </c>
      <c r="G68" s="40">
        <v>0</v>
      </c>
      <c r="H68" s="41">
        <v>40986</v>
      </c>
      <c r="I68" s="52">
        <v>0</v>
      </c>
    </row>
    <row r="69" spans="2:9" ht="18.75" customHeight="1" thickBot="1" x14ac:dyDescent="0.3">
      <c r="B69" s="120" t="s">
        <v>74</v>
      </c>
      <c r="C69" s="121"/>
      <c r="D69" s="121"/>
      <c r="E69" s="121"/>
      <c r="F69" s="121"/>
      <c r="G69" s="121"/>
      <c r="H69" s="121"/>
      <c r="I69" s="122"/>
    </row>
    <row r="70" spans="2:9" ht="18.75" customHeight="1" thickBot="1" x14ac:dyDescent="0.3">
      <c r="B70" s="93" t="s">
        <v>75</v>
      </c>
      <c r="C70" s="94"/>
      <c r="D70" s="94"/>
      <c r="E70" s="94"/>
      <c r="F70" s="94"/>
      <c r="G70" s="94"/>
      <c r="H70" s="94"/>
      <c r="I70" s="95"/>
    </row>
    <row r="71" spans="2:9" ht="18.75" customHeight="1" thickBot="1" x14ac:dyDescent="0.3">
      <c r="B71" s="117" t="s">
        <v>58</v>
      </c>
      <c r="C71" s="118"/>
      <c r="D71" s="118"/>
      <c r="E71" s="118"/>
      <c r="F71" s="118"/>
      <c r="G71" s="118"/>
      <c r="H71" s="118"/>
      <c r="I71" s="119"/>
    </row>
    <row r="72" spans="2:9" ht="18.75" customHeight="1" x14ac:dyDescent="0.25">
      <c r="B72" s="35" t="s">
        <v>268</v>
      </c>
      <c r="C72" s="36">
        <v>102</v>
      </c>
      <c r="D72" s="37" t="s">
        <v>76</v>
      </c>
      <c r="E72" s="38"/>
      <c r="F72" s="39">
        <v>40979</v>
      </c>
      <c r="G72" s="40">
        <v>0</v>
      </c>
      <c r="H72" s="41">
        <v>30734.25</v>
      </c>
      <c r="I72" s="42">
        <v>0</v>
      </c>
    </row>
    <row r="73" spans="2:9" ht="18.75" customHeight="1" x14ac:dyDescent="0.25">
      <c r="B73" s="35" t="s">
        <v>269</v>
      </c>
      <c r="C73" s="36">
        <v>102</v>
      </c>
      <c r="D73" s="43" t="s">
        <v>77</v>
      </c>
      <c r="E73" s="44"/>
      <c r="F73" s="39">
        <v>40982</v>
      </c>
      <c r="G73" s="40">
        <v>0</v>
      </c>
      <c r="H73" s="41">
        <v>30736.5</v>
      </c>
      <c r="I73" s="48">
        <v>0</v>
      </c>
    </row>
    <row r="74" spans="2:9" ht="18.75" customHeight="1" x14ac:dyDescent="0.25">
      <c r="B74" s="35" t="s">
        <v>270</v>
      </c>
      <c r="C74" s="36">
        <v>100</v>
      </c>
      <c r="D74" s="43" t="s">
        <v>78</v>
      </c>
      <c r="E74" s="44"/>
      <c r="F74" s="39">
        <v>40977.5</v>
      </c>
      <c r="G74" s="40">
        <v>0</v>
      </c>
      <c r="H74" s="41">
        <v>30733.125</v>
      </c>
      <c r="I74" s="48">
        <v>0</v>
      </c>
    </row>
    <row r="75" spans="2:9" ht="18.75" customHeight="1" x14ac:dyDescent="0.25">
      <c r="B75" s="35" t="s">
        <v>271</v>
      </c>
      <c r="C75" s="36">
        <v>102</v>
      </c>
      <c r="D75" s="43" t="s">
        <v>79</v>
      </c>
      <c r="E75" s="44"/>
      <c r="F75" s="39">
        <v>40977.5</v>
      </c>
      <c r="G75" s="40">
        <v>0</v>
      </c>
      <c r="H75" s="41">
        <v>30733.125</v>
      </c>
      <c r="I75" s="48">
        <v>0</v>
      </c>
    </row>
    <row r="76" spans="2:9" ht="18.75" customHeight="1" x14ac:dyDescent="0.25">
      <c r="B76" s="35" t="s">
        <v>272</v>
      </c>
      <c r="C76" s="36">
        <v>100</v>
      </c>
      <c r="D76" s="43" t="s">
        <v>80</v>
      </c>
      <c r="E76" s="44"/>
      <c r="F76" s="39">
        <v>40977.5</v>
      </c>
      <c r="G76" s="40">
        <v>0</v>
      </c>
      <c r="H76" s="41">
        <v>30733.125</v>
      </c>
      <c r="I76" s="48">
        <v>0</v>
      </c>
    </row>
    <row r="77" spans="2:9" ht="18.75" customHeight="1" x14ac:dyDescent="0.25">
      <c r="B77" s="35" t="s">
        <v>273</v>
      </c>
      <c r="C77" s="36">
        <v>158</v>
      </c>
      <c r="D77" s="43" t="s">
        <v>81</v>
      </c>
      <c r="E77" s="44"/>
      <c r="F77" s="39">
        <v>40977.5</v>
      </c>
      <c r="G77" s="40">
        <v>0</v>
      </c>
      <c r="H77" s="41">
        <v>30733.125</v>
      </c>
      <c r="I77" s="48">
        <v>0</v>
      </c>
    </row>
    <row r="78" spans="2:9" ht="18.75" customHeight="1" x14ac:dyDescent="0.25">
      <c r="B78" s="35" t="s">
        <v>274</v>
      </c>
      <c r="C78" s="36">
        <v>102</v>
      </c>
      <c r="D78" s="43" t="s">
        <v>82</v>
      </c>
      <c r="E78" s="44"/>
      <c r="F78" s="39">
        <v>40977.5</v>
      </c>
      <c r="G78" s="40">
        <v>0</v>
      </c>
      <c r="H78" s="41">
        <v>30733.125</v>
      </c>
      <c r="I78" s="48">
        <v>0</v>
      </c>
    </row>
    <row r="79" spans="2:9" ht="18.75" customHeight="1" x14ac:dyDescent="0.25">
      <c r="B79" s="35" t="s">
        <v>275</v>
      </c>
      <c r="C79" s="36">
        <v>158</v>
      </c>
      <c r="D79" s="43" t="s">
        <v>83</v>
      </c>
      <c r="E79" s="44"/>
      <c r="F79" s="39">
        <v>40977.5</v>
      </c>
      <c r="G79" s="40">
        <v>0</v>
      </c>
      <c r="H79" s="41">
        <v>30733.125</v>
      </c>
      <c r="I79" s="48">
        <v>0</v>
      </c>
    </row>
    <row r="80" spans="2:9" ht="18.75" customHeight="1" x14ac:dyDescent="0.25">
      <c r="B80" s="49" t="s">
        <v>67</v>
      </c>
      <c r="C80" s="50"/>
      <c r="D80" s="43"/>
      <c r="E80" s="43"/>
      <c r="F80" s="51"/>
      <c r="G80" s="40"/>
      <c r="H80" s="41"/>
      <c r="I80" s="48"/>
    </row>
    <row r="81" spans="2:9" ht="18.75" customHeight="1" x14ac:dyDescent="0.25">
      <c r="B81" s="35" t="s">
        <v>276</v>
      </c>
      <c r="C81" s="36">
        <v>130</v>
      </c>
      <c r="D81" s="43" t="s">
        <v>84</v>
      </c>
      <c r="E81" s="44"/>
      <c r="F81" s="39">
        <v>40977.5</v>
      </c>
      <c r="G81" s="40">
        <v>0</v>
      </c>
      <c r="H81" s="41">
        <v>30733.125</v>
      </c>
      <c r="I81" s="48">
        <v>0</v>
      </c>
    </row>
    <row r="82" spans="2:9" ht="18.75" customHeight="1" x14ac:dyDescent="0.25">
      <c r="B82" s="35" t="s">
        <v>277</v>
      </c>
      <c r="C82" s="36">
        <v>102</v>
      </c>
      <c r="D82" s="43" t="s">
        <v>85</v>
      </c>
      <c r="E82" s="44"/>
      <c r="F82" s="39">
        <v>40977.5</v>
      </c>
      <c r="G82" s="40">
        <v>0</v>
      </c>
      <c r="H82" s="41">
        <v>30733.125</v>
      </c>
      <c r="I82" s="48">
        <v>0</v>
      </c>
    </row>
    <row r="83" spans="2:9" ht="18.75" customHeight="1" x14ac:dyDescent="0.25">
      <c r="B83" s="35" t="s">
        <v>278</v>
      </c>
      <c r="C83" s="36">
        <v>170</v>
      </c>
      <c r="D83" s="43" t="s">
        <v>86</v>
      </c>
      <c r="E83" s="44"/>
      <c r="F83" s="39">
        <v>40977.5</v>
      </c>
      <c r="G83" s="40">
        <v>0</v>
      </c>
      <c r="H83" s="41">
        <v>30733.125</v>
      </c>
      <c r="I83" s="48">
        <v>0</v>
      </c>
    </row>
    <row r="84" spans="2:9" ht="18.75" customHeight="1" x14ac:dyDescent="0.25">
      <c r="B84" s="35" t="s">
        <v>279</v>
      </c>
      <c r="C84" s="36">
        <v>130</v>
      </c>
      <c r="D84" s="43" t="s">
        <v>87</v>
      </c>
      <c r="E84" s="44"/>
      <c r="F84" s="39">
        <v>40977.5</v>
      </c>
      <c r="G84" s="40">
        <v>0</v>
      </c>
      <c r="H84" s="41">
        <v>30733.125</v>
      </c>
      <c r="I84" s="48">
        <v>0</v>
      </c>
    </row>
    <row r="85" spans="2:9" ht="18.75" customHeight="1" x14ac:dyDescent="0.25">
      <c r="B85" s="35" t="s">
        <v>280</v>
      </c>
      <c r="C85" s="36">
        <v>102</v>
      </c>
      <c r="D85" s="43" t="s">
        <v>88</v>
      </c>
      <c r="E85" s="44"/>
      <c r="F85" s="39">
        <v>40977.5</v>
      </c>
      <c r="G85" s="40">
        <v>0</v>
      </c>
      <c r="H85" s="41">
        <v>30733.125</v>
      </c>
      <c r="I85" s="48">
        <v>0</v>
      </c>
    </row>
    <row r="86" spans="2:9" ht="18.75" customHeight="1" thickBot="1" x14ac:dyDescent="0.3">
      <c r="B86" s="35" t="s">
        <v>281</v>
      </c>
      <c r="C86" s="36">
        <v>130</v>
      </c>
      <c r="D86" s="53" t="s">
        <v>89</v>
      </c>
      <c r="E86" s="54"/>
      <c r="F86" s="39">
        <v>40977.5</v>
      </c>
      <c r="G86" s="40">
        <v>0</v>
      </c>
      <c r="H86" s="41">
        <v>30733.125</v>
      </c>
      <c r="I86" s="55">
        <v>0</v>
      </c>
    </row>
    <row r="87" spans="2:9" ht="18.75" customHeight="1" thickBot="1" x14ac:dyDescent="0.3">
      <c r="B87" s="123" t="s">
        <v>90</v>
      </c>
      <c r="C87" s="124"/>
      <c r="D87" s="124"/>
      <c r="E87" s="124"/>
      <c r="F87" s="124"/>
      <c r="G87" s="124"/>
      <c r="H87" s="124"/>
      <c r="I87" s="125"/>
    </row>
    <row r="88" spans="2:9" ht="18.75" customHeight="1" thickBot="1" x14ac:dyDescent="0.3">
      <c r="B88" s="93" t="s">
        <v>91</v>
      </c>
      <c r="C88" s="94"/>
      <c r="D88" s="94"/>
      <c r="E88" s="94"/>
      <c r="F88" s="94"/>
      <c r="G88" s="94"/>
      <c r="H88" s="94"/>
      <c r="I88" s="95"/>
    </row>
    <row r="89" spans="2:9" ht="18.75" customHeight="1" x14ac:dyDescent="0.25">
      <c r="B89" s="49" t="s">
        <v>67</v>
      </c>
      <c r="C89" s="50"/>
      <c r="D89" s="43"/>
      <c r="E89" s="43"/>
      <c r="F89" s="51"/>
      <c r="G89" s="40"/>
      <c r="H89" s="41"/>
      <c r="I89" s="48"/>
    </row>
    <row r="90" spans="2:9" ht="18.75" customHeight="1" x14ac:dyDescent="0.25">
      <c r="B90" s="35" t="s">
        <v>282</v>
      </c>
      <c r="C90" s="36">
        <v>130</v>
      </c>
      <c r="D90" s="56" t="s">
        <v>92</v>
      </c>
      <c r="E90" s="38"/>
      <c r="F90" s="39">
        <v>30695.5</v>
      </c>
      <c r="G90" s="40">
        <v>0</v>
      </c>
      <c r="H90" s="41">
        <v>23021.625</v>
      </c>
      <c r="I90" s="42">
        <v>0</v>
      </c>
    </row>
    <row r="91" spans="2:9" ht="18.75" customHeight="1" x14ac:dyDescent="0.25">
      <c r="B91" s="35" t="s">
        <v>283</v>
      </c>
      <c r="C91" s="36">
        <v>160</v>
      </c>
      <c r="D91" s="57" t="s">
        <v>93</v>
      </c>
      <c r="E91" s="44"/>
      <c r="F91" s="39">
        <v>30695.5</v>
      </c>
      <c r="G91" s="40">
        <v>0</v>
      </c>
      <c r="H91" s="41">
        <v>23021.625</v>
      </c>
      <c r="I91" s="48">
        <v>0</v>
      </c>
    </row>
    <row r="92" spans="2:9" ht="18.75" customHeight="1" x14ac:dyDescent="0.25">
      <c r="B92" s="35" t="s">
        <v>284</v>
      </c>
      <c r="C92" s="36">
        <v>160</v>
      </c>
      <c r="D92" s="57" t="s">
        <v>94</v>
      </c>
      <c r="E92" s="44"/>
      <c r="F92" s="39">
        <v>30695.5</v>
      </c>
      <c r="G92" s="40">
        <v>0</v>
      </c>
      <c r="H92" s="41">
        <v>23021.625</v>
      </c>
      <c r="I92" s="48">
        <v>0</v>
      </c>
    </row>
    <row r="93" spans="2:9" ht="18.75" customHeight="1" x14ac:dyDescent="0.25">
      <c r="B93" s="49" t="s">
        <v>95</v>
      </c>
      <c r="C93" s="50"/>
      <c r="D93" s="43"/>
      <c r="E93" s="43"/>
      <c r="F93" s="51"/>
      <c r="G93" s="40"/>
      <c r="H93" s="41"/>
      <c r="I93" s="48"/>
    </row>
    <row r="94" spans="2:9" ht="18.75" customHeight="1" x14ac:dyDescent="0.25">
      <c r="B94" s="35" t="s">
        <v>285</v>
      </c>
      <c r="C94" s="36">
        <v>130</v>
      </c>
      <c r="D94" s="43" t="s">
        <v>96</v>
      </c>
      <c r="E94" s="44"/>
      <c r="F94" s="39">
        <v>30695.5</v>
      </c>
      <c r="G94" s="40">
        <v>0</v>
      </c>
      <c r="H94" s="41">
        <v>23021.625</v>
      </c>
      <c r="I94" s="48">
        <v>0</v>
      </c>
    </row>
    <row r="95" spans="2:9" ht="18.75" customHeight="1" x14ac:dyDescent="0.25">
      <c r="B95" s="35" t="s">
        <v>286</v>
      </c>
      <c r="C95" s="36">
        <v>160</v>
      </c>
      <c r="D95" s="43" t="s">
        <v>97</v>
      </c>
      <c r="E95" s="44"/>
      <c r="F95" s="39">
        <v>30695.5</v>
      </c>
      <c r="G95" s="40">
        <v>0</v>
      </c>
      <c r="H95" s="41">
        <v>23021.625</v>
      </c>
      <c r="I95" s="48">
        <v>0</v>
      </c>
    </row>
    <row r="96" spans="2:9" ht="18.75" customHeight="1" thickBot="1" x14ac:dyDescent="0.3">
      <c r="B96" s="35" t="s">
        <v>287</v>
      </c>
      <c r="C96" s="36">
        <v>160</v>
      </c>
      <c r="D96" s="45" t="s">
        <v>98</v>
      </c>
      <c r="E96" s="46"/>
      <c r="F96" s="39">
        <v>30695.5</v>
      </c>
      <c r="G96" s="40">
        <v>0</v>
      </c>
      <c r="H96" s="41">
        <v>23021.625</v>
      </c>
      <c r="I96" s="52">
        <v>0</v>
      </c>
    </row>
    <row r="97" spans="2:9" ht="18.75" customHeight="1" thickBot="1" x14ac:dyDescent="0.3">
      <c r="B97" s="114" t="s">
        <v>99</v>
      </c>
      <c r="C97" s="115"/>
      <c r="D97" s="115"/>
      <c r="E97" s="115"/>
      <c r="F97" s="115"/>
      <c r="G97" s="115"/>
      <c r="H97" s="115"/>
      <c r="I97" s="116"/>
    </row>
    <row r="98" spans="2:9" ht="18.75" customHeight="1" x14ac:dyDescent="0.25">
      <c r="B98" s="35" t="s">
        <v>288</v>
      </c>
      <c r="C98" s="36">
        <v>0.4</v>
      </c>
      <c r="D98" s="57" t="s">
        <v>100</v>
      </c>
      <c r="E98" s="44"/>
      <c r="F98" s="39">
        <v>1735.5</v>
      </c>
      <c r="G98" s="40">
        <v>0</v>
      </c>
      <c r="H98" s="41">
        <v>1301.625</v>
      </c>
      <c r="I98" s="48">
        <v>0</v>
      </c>
    </row>
    <row r="99" spans="2:9" ht="18.75" customHeight="1" thickBot="1" x14ac:dyDescent="0.3">
      <c r="B99" s="35" t="s">
        <v>289</v>
      </c>
      <c r="C99" s="36">
        <v>3.5</v>
      </c>
      <c r="D99" s="57" t="s">
        <v>101</v>
      </c>
      <c r="E99" s="44"/>
      <c r="F99" s="39">
        <v>4092.5</v>
      </c>
      <c r="G99" s="40">
        <v>0</v>
      </c>
      <c r="H99" s="41">
        <v>3069.375</v>
      </c>
      <c r="I99" s="48">
        <v>0</v>
      </c>
    </row>
    <row r="100" spans="2:9" ht="18.75" customHeight="1" thickBot="1" x14ac:dyDescent="0.3">
      <c r="B100" s="96" t="s">
        <v>102</v>
      </c>
      <c r="C100" s="97"/>
      <c r="D100" s="97"/>
      <c r="E100" s="97"/>
      <c r="F100" s="97"/>
      <c r="G100" s="97"/>
      <c r="H100" s="97"/>
      <c r="I100" s="98"/>
    </row>
    <row r="101" spans="2:9" ht="18.75" customHeight="1" x14ac:dyDescent="0.25">
      <c r="B101" s="35" t="s">
        <v>290</v>
      </c>
      <c r="C101" s="36">
        <v>11.85</v>
      </c>
      <c r="D101" s="37" t="s">
        <v>103</v>
      </c>
      <c r="E101" s="38"/>
      <c r="F101" s="39">
        <v>5810</v>
      </c>
      <c r="G101" s="40">
        <v>0</v>
      </c>
      <c r="H101" s="41">
        <v>4357.5</v>
      </c>
      <c r="I101" s="48">
        <v>0</v>
      </c>
    </row>
    <row r="102" spans="2:9" ht="18.75" customHeight="1" thickBot="1" x14ac:dyDescent="0.3">
      <c r="B102" s="35" t="s">
        <v>291</v>
      </c>
      <c r="C102" s="36">
        <v>12</v>
      </c>
      <c r="D102" s="45" t="s">
        <v>104</v>
      </c>
      <c r="E102" s="46"/>
      <c r="F102" s="39">
        <v>5988</v>
      </c>
      <c r="G102" s="40">
        <v>0</v>
      </c>
      <c r="H102" s="41">
        <v>4491</v>
      </c>
      <c r="I102" s="48">
        <v>0</v>
      </c>
    </row>
    <row r="103" spans="2:9" ht="18.75" customHeight="1" thickBot="1" x14ac:dyDescent="0.3">
      <c r="B103" s="90"/>
      <c r="C103" s="91"/>
      <c r="D103" s="91"/>
      <c r="E103" s="91"/>
      <c r="F103" s="91"/>
      <c r="G103" s="91"/>
      <c r="H103" s="91"/>
      <c r="I103" s="92"/>
    </row>
    <row r="104" spans="2:9" ht="18.75" customHeight="1" thickBot="1" x14ac:dyDescent="0.3">
      <c r="B104" s="96" t="s">
        <v>105</v>
      </c>
      <c r="C104" s="97"/>
      <c r="D104" s="97"/>
      <c r="E104" s="97"/>
      <c r="F104" s="97"/>
      <c r="G104" s="97"/>
      <c r="H104" s="97"/>
      <c r="I104" s="98"/>
    </row>
    <row r="105" spans="2:9" ht="18.75" customHeight="1" x14ac:dyDescent="0.25">
      <c r="B105" s="35" t="s">
        <v>292</v>
      </c>
      <c r="C105" s="36">
        <v>320</v>
      </c>
      <c r="D105" s="37" t="s">
        <v>106</v>
      </c>
      <c r="E105" s="38"/>
      <c r="F105" s="39">
        <v>8102.5</v>
      </c>
      <c r="G105" s="40">
        <v>0</v>
      </c>
      <c r="H105" s="41">
        <v>6076.875</v>
      </c>
      <c r="I105" s="48">
        <v>0</v>
      </c>
    </row>
    <row r="106" spans="2:9" ht="18.75" customHeight="1" thickBot="1" x14ac:dyDescent="0.3">
      <c r="B106" s="35" t="s">
        <v>293</v>
      </c>
      <c r="C106" s="36">
        <v>134</v>
      </c>
      <c r="D106" s="45" t="s">
        <v>107</v>
      </c>
      <c r="E106" s="46"/>
      <c r="F106" s="39">
        <v>5163</v>
      </c>
      <c r="G106" s="40">
        <v>0</v>
      </c>
      <c r="H106" s="41">
        <v>3872.25</v>
      </c>
      <c r="I106" s="48">
        <v>0</v>
      </c>
    </row>
    <row r="107" spans="2:9" ht="18.75" customHeight="1" thickBot="1" x14ac:dyDescent="0.3">
      <c r="B107" s="90"/>
      <c r="C107" s="91"/>
      <c r="D107" s="91"/>
      <c r="E107" s="91"/>
      <c r="F107" s="91"/>
      <c r="G107" s="91"/>
      <c r="H107" s="91"/>
      <c r="I107" s="92"/>
    </row>
    <row r="108" spans="2:9" ht="18.75" customHeight="1" thickBot="1" x14ac:dyDescent="0.3">
      <c r="B108" s="96" t="s">
        <v>108</v>
      </c>
      <c r="C108" s="97"/>
      <c r="D108" s="97"/>
      <c r="E108" s="97"/>
      <c r="F108" s="97"/>
      <c r="G108" s="97"/>
      <c r="H108" s="97"/>
      <c r="I108" s="98"/>
    </row>
    <row r="109" spans="2:9" ht="18.75" customHeight="1" x14ac:dyDescent="0.25">
      <c r="B109" s="35" t="s">
        <v>294</v>
      </c>
      <c r="C109" s="36">
        <v>9</v>
      </c>
      <c r="D109" s="37" t="s">
        <v>109</v>
      </c>
      <c r="E109" s="38"/>
      <c r="F109" s="39">
        <v>6029.5</v>
      </c>
      <c r="G109" s="40">
        <v>0</v>
      </c>
      <c r="H109" s="41">
        <v>4522.125</v>
      </c>
      <c r="I109" s="48">
        <v>0</v>
      </c>
    </row>
    <row r="110" spans="2:9" ht="18.75" customHeight="1" x14ac:dyDescent="0.25">
      <c r="B110" s="35" t="s">
        <v>295</v>
      </c>
      <c r="C110" s="36">
        <v>5</v>
      </c>
      <c r="D110" s="43" t="s">
        <v>110</v>
      </c>
      <c r="E110" s="44"/>
      <c r="F110" s="39">
        <v>1427</v>
      </c>
      <c r="G110" s="40">
        <v>0</v>
      </c>
      <c r="H110" s="41">
        <v>1070.25</v>
      </c>
      <c r="I110" s="48">
        <v>0</v>
      </c>
    </row>
    <row r="111" spans="2:9" ht="18.75" customHeight="1" x14ac:dyDescent="0.25">
      <c r="B111" s="35" t="s">
        <v>296</v>
      </c>
      <c r="C111" s="36">
        <v>5</v>
      </c>
      <c r="D111" s="43" t="s">
        <v>111</v>
      </c>
      <c r="E111" s="44"/>
      <c r="F111" s="39">
        <v>6029.5</v>
      </c>
      <c r="G111" s="40">
        <v>0</v>
      </c>
      <c r="H111" s="41">
        <v>4522.125</v>
      </c>
      <c r="I111" s="48">
        <v>0</v>
      </c>
    </row>
    <row r="112" spans="2:9" ht="18.75" customHeight="1" x14ac:dyDescent="0.25">
      <c r="B112" s="35" t="s">
        <v>297</v>
      </c>
      <c r="C112" s="36">
        <v>4.1500000000000004</v>
      </c>
      <c r="D112" s="43" t="s">
        <v>112</v>
      </c>
      <c r="E112" s="44"/>
      <c r="F112" s="39">
        <v>1427</v>
      </c>
      <c r="G112" s="40">
        <v>0</v>
      </c>
      <c r="H112" s="41">
        <v>1070.25</v>
      </c>
      <c r="I112" s="48">
        <v>0</v>
      </c>
    </row>
    <row r="113" spans="2:9" ht="18.75" customHeight="1" x14ac:dyDescent="0.25">
      <c r="B113" s="35" t="s">
        <v>298</v>
      </c>
      <c r="C113" s="36">
        <v>2</v>
      </c>
      <c r="D113" s="37" t="s">
        <v>113</v>
      </c>
      <c r="E113" s="38"/>
      <c r="F113" s="39">
        <v>2222</v>
      </c>
      <c r="G113" s="40">
        <v>0</v>
      </c>
      <c r="H113" s="41">
        <v>1666.5</v>
      </c>
      <c r="I113" s="48">
        <v>0</v>
      </c>
    </row>
    <row r="114" spans="2:9" ht="18.75" customHeight="1" x14ac:dyDescent="0.25">
      <c r="B114" s="35" t="s">
        <v>299</v>
      </c>
      <c r="C114" s="36">
        <v>0.8</v>
      </c>
      <c r="D114" s="43" t="s">
        <v>114</v>
      </c>
      <c r="E114" s="44"/>
      <c r="F114" s="39">
        <v>141</v>
      </c>
      <c r="G114" s="40">
        <v>0</v>
      </c>
      <c r="H114" s="41">
        <v>105.75</v>
      </c>
      <c r="I114" s="48">
        <v>0</v>
      </c>
    </row>
    <row r="115" spans="2:9" ht="18.75" customHeight="1" x14ac:dyDescent="0.25">
      <c r="B115" s="35" t="s">
        <v>300</v>
      </c>
      <c r="C115" s="36">
        <v>0.65</v>
      </c>
      <c r="D115" s="43" t="s">
        <v>115</v>
      </c>
      <c r="E115" s="44"/>
      <c r="F115" s="39">
        <v>119</v>
      </c>
      <c r="G115" s="40">
        <v>0</v>
      </c>
      <c r="H115" s="41">
        <v>89.25</v>
      </c>
      <c r="I115" s="48">
        <v>0</v>
      </c>
    </row>
    <row r="116" spans="2:9" ht="18.75" customHeight="1" x14ac:dyDescent="0.25">
      <c r="B116" s="35" t="s">
        <v>301</v>
      </c>
      <c r="C116" s="36">
        <v>0.95</v>
      </c>
      <c r="D116" s="43" t="s">
        <v>116</v>
      </c>
      <c r="E116" s="44"/>
      <c r="F116" s="39">
        <v>714</v>
      </c>
      <c r="G116" s="40">
        <v>0</v>
      </c>
      <c r="H116" s="41">
        <v>535.5</v>
      </c>
      <c r="I116" s="48">
        <v>0</v>
      </c>
    </row>
    <row r="117" spans="2:9" ht="18.75" customHeight="1" x14ac:dyDescent="0.25">
      <c r="B117" s="35" t="s">
        <v>302</v>
      </c>
      <c r="C117" s="36">
        <v>0.95</v>
      </c>
      <c r="D117" s="37" t="s">
        <v>117</v>
      </c>
      <c r="E117" s="38"/>
      <c r="F117" s="39">
        <v>714</v>
      </c>
      <c r="G117" s="40">
        <v>0</v>
      </c>
      <c r="H117" s="41">
        <v>535.5</v>
      </c>
      <c r="I117" s="48">
        <v>0</v>
      </c>
    </row>
    <row r="118" spans="2:9" ht="18.75" customHeight="1" thickBot="1" x14ac:dyDescent="0.3">
      <c r="B118" s="35" t="s">
        <v>303</v>
      </c>
      <c r="C118" s="36">
        <v>20</v>
      </c>
      <c r="D118" s="45" t="s">
        <v>118</v>
      </c>
      <c r="E118" s="46"/>
      <c r="F118" s="39">
        <v>6092.5</v>
      </c>
      <c r="G118" s="40">
        <v>0</v>
      </c>
      <c r="H118" s="41">
        <v>4569.375</v>
      </c>
      <c r="I118" s="48">
        <v>0</v>
      </c>
    </row>
    <row r="119" spans="2:9" ht="18.75" customHeight="1" thickBot="1" x14ac:dyDescent="0.3">
      <c r="B119" s="90"/>
      <c r="C119" s="91"/>
      <c r="D119" s="91"/>
      <c r="E119" s="91"/>
      <c r="F119" s="91"/>
      <c r="G119" s="91"/>
      <c r="H119" s="91"/>
      <c r="I119" s="92"/>
    </row>
    <row r="120" spans="2:9" ht="18.75" customHeight="1" thickBot="1" x14ac:dyDescent="0.3">
      <c r="B120" s="96" t="s">
        <v>119</v>
      </c>
      <c r="C120" s="97"/>
      <c r="D120" s="97"/>
      <c r="E120" s="97"/>
      <c r="F120" s="97"/>
      <c r="G120" s="97"/>
      <c r="H120" s="97"/>
      <c r="I120" s="98"/>
    </row>
    <row r="121" spans="2:9" ht="18.75" customHeight="1" x14ac:dyDescent="0.25">
      <c r="B121" s="35" t="s">
        <v>120</v>
      </c>
      <c r="C121" s="58"/>
      <c r="D121" s="59"/>
      <c r="E121" s="59"/>
      <c r="F121" s="39" t="s">
        <v>304</v>
      </c>
      <c r="G121" s="40">
        <v>0</v>
      </c>
      <c r="H121" s="41">
        <v>0</v>
      </c>
      <c r="I121" s="48">
        <v>0</v>
      </c>
    </row>
    <row r="122" spans="2:9" ht="18.75" customHeight="1" x14ac:dyDescent="0.25">
      <c r="B122" s="35" t="s">
        <v>121</v>
      </c>
      <c r="C122" s="60"/>
      <c r="D122" s="45"/>
      <c r="E122" s="45"/>
      <c r="F122" s="39" t="s">
        <v>304</v>
      </c>
      <c r="G122" s="40">
        <v>0</v>
      </c>
      <c r="H122" s="41">
        <v>0</v>
      </c>
      <c r="I122" s="48">
        <v>0</v>
      </c>
    </row>
    <row r="123" spans="2:9" ht="18.75" customHeight="1" thickBot="1" x14ac:dyDescent="0.3">
      <c r="B123" s="35" t="s">
        <v>122</v>
      </c>
      <c r="C123" s="60"/>
      <c r="D123" s="45"/>
      <c r="E123" s="45"/>
      <c r="F123" s="39" t="s">
        <v>304</v>
      </c>
      <c r="G123" s="40">
        <v>0</v>
      </c>
      <c r="H123" s="41">
        <v>0</v>
      </c>
      <c r="I123" s="48">
        <v>0</v>
      </c>
    </row>
    <row r="124" spans="2:9" ht="18.75" customHeight="1" thickBot="1" x14ac:dyDescent="0.3">
      <c r="B124" s="90"/>
      <c r="C124" s="91"/>
      <c r="D124" s="91"/>
      <c r="E124" s="91"/>
      <c r="F124" s="91"/>
      <c r="G124" s="91"/>
      <c r="H124" s="91"/>
      <c r="I124" s="92"/>
    </row>
    <row r="125" spans="2:9" ht="18.75" customHeight="1" thickBot="1" x14ac:dyDescent="0.3">
      <c r="B125" s="96" t="s">
        <v>123</v>
      </c>
      <c r="C125" s="97"/>
      <c r="D125" s="97"/>
      <c r="E125" s="97"/>
      <c r="F125" s="97"/>
      <c r="G125" s="97"/>
      <c r="H125" s="97"/>
      <c r="I125" s="98"/>
    </row>
    <row r="126" spans="2:9" ht="18.75" customHeight="1" x14ac:dyDescent="0.25">
      <c r="B126" s="35" t="s">
        <v>305</v>
      </c>
      <c r="C126" s="36">
        <v>3</v>
      </c>
      <c r="D126" s="37" t="s">
        <v>124</v>
      </c>
      <c r="E126" s="38"/>
      <c r="F126" s="39">
        <v>1761</v>
      </c>
      <c r="G126" s="40">
        <v>0</v>
      </c>
      <c r="H126" s="41">
        <v>1320.75</v>
      </c>
      <c r="I126" s="48">
        <v>0</v>
      </c>
    </row>
    <row r="127" spans="2:9" ht="18.75" customHeight="1" x14ac:dyDescent="0.25">
      <c r="B127" s="35" t="s">
        <v>306</v>
      </c>
      <c r="C127" s="36">
        <v>24.4</v>
      </c>
      <c r="D127" s="43" t="s">
        <v>125</v>
      </c>
      <c r="E127" s="44"/>
      <c r="F127" s="39">
        <v>1819.5</v>
      </c>
      <c r="G127" s="40">
        <v>0</v>
      </c>
      <c r="H127" s="41">
        <v>1364.625</v>
      </c>
      <c r="I127" s="48">
        <v>0</v>
      </c>
    </row>
    <row r="128" spans="2:9" ht="18.75" customHeight="1" x14ac:dyDescent="0.25">
      <c r="B128" s="35" t="s">
        <v>307</v>
      </c>
      <c r="C128" s="36">
        <v>31.6</v>
      </c>
      <c r="D128" s="43" t="s">
        <v>126</v>
      </c>
      <c r="E128" s="44"/>
      <c r="F128" s="39">
        <v>1858.5</v>
      </c>
      <c r="G128" s="40">
        <v>0</v>
      </c>
      <c r="H128" s="41">
        <v>1393.875</v>
      </c>
      <c r="I128" s="48">
        <v>0</v>
      </c>
    </row>
    <row r="129" spans="2:9" ht="18.75" customHeight="1" x14ac:dyDescent="0.25">
      <c r="B129" s="35" t="s">
        <v>308</v>
      </c>
      <c r="C129" s="36">
        <v>3</v>
      </c>
      <c r="D129" s="43" t="s">
        <v>127</v>
      </c>
      <c r="E129" s="44"/>
      <c r="F129" s="39">
        <v>2004</v>
      </c>
      <c r="G129" s="40">
        <v>0</v>
      </c>
      <c r="H129" s="41">
        <v>1503</v>
      </c>
      <c r="I129" s="48">
        <v>0</v>
      </c>
    </row>
    <row r="130" spans="2:9" ht="18.75" customHeight="1" x14ac:dyDescent="0.25">
      <c r="B130" s="35" t="s">
        <v>309</v>
      </c>
      <c r="C130" s="36">
        <v>16</v>
      </c>
      <c r="D130" s="43" t="s">
        <v>128</v>
      </c>
      <c r="E130" s="44"/>
      <c r="F130" s="39">
        <v>1807.5</v>
      </c>
      <c r="G130" s="40">
        <v>0</v>
      </c>
      <c r="H130" s="41">
        <v>1355.625</v>
      </c>
      <c r="I130" s="48">
        <v>0</v>
      </c>
    </row>
    <row r="131" spans="2:9" ht="18.75" customHeight="1" x14ac:dyDescent="0.25">
      <c r="B131" s="35" t="s">
        <v>310</v>
      </c>
      <c r="C131" s="36">
        <v>24.4</v>
      </c>
      <c r="D131" s="43" t="s">
        <v>129</v>
      </c>
      <c r="E131" s="44"/>
      <c r="F131" s="39">
        <v>2200.5</v>
      </c>
      <c r="G131" s="40">
        <v>0</v>
      </c>
      <c r="H131" s="41">
        <v>1650.375</v>
      </c>
      <c r="I131" s="48">
        <v>0</v>
      </c>
    </row>
    <row r="132" spans="2:9" ht="18.75" customHeight="1" x14ac:dyDescent="0.25">
      <c r="B132" s="35" t="s">
        <v>311</v>
      </c>
      <c r="C132" s="36">
        <v>31.6</v>
      </c>
      <c r="D132" s="43" t="s">
        <v>130</v>
      </c>
      <c r="E132" s="44"/>
      <c r="F132" s="39">
        <v>2681.5</v>
      </c>
      <c r="G132" s="40">
        <v>0</v>
      </c>
      <c r="H132" s="41">
        <v>2011.125</v>
      </c>
      <c r="I132" s="48">
        <v>0</v>
      </c>
    </row>
    <row r="133" spans="2:9" ht="18.75" customHeight="1" thickBot="1" x14ac:dyDescent="0.3">
      <c r="B133" s="35" t="s">
        <v>312</v>
      </c>
      <c r="C133" s="36">
        <v>50</v>
      </c>
      <c r="D133" s="45" t="s">
        <v>131</v>
      </c>
      <c r="E133" s="46"/>
      <c r="F133" s="39">
        <v>3075.5</v>
      </c>
      <c r="G133" s="40">
        <v>0</v>
      </c>
      <c r="H133" s="41">
        <v>2306.625</v>
      </c>
      <c r="I133" s="48">
        <v>0</v>
      </c>
    </row>
    <row r="134" spans="2:9" ht="18.75" customHeight="1" thickBot="1" x14ac:dyDescent="0.3">
      <c r="B134" s="90"/>
      <c r="C134" s="91"/>
      <c r="D134" s="91"/>
      <c r="E134" s="91"/>
      <c r="F134" s="91"/>
      <c r="G134" s="91"/>
      <c r="H134" s="91"/>
      <c r="I134" s="92"/>
    </row>
    <row r="135" spans="2:9" ht="18.75" customHeight="1" thickBot="1" x14ac:dyDescent="0.3">
      <c r="B135" s="96" t="s">
        <v>132</v>
      </c>
      <c r="C135" s="97"/>
      <c r="D135" s="97"/>
      <c r="E135" s="97"/>
      <c r="F135" s="97"/>
      <c r="G135" s="97"/>
      <c r="H135" s="97"/>
      <c r="I135" s="98"/>
    </row>
    <row r="136" spans="2:9" ht="18.75" customHeight="1" x14ac:dyDescent="0.25">
      <c r="B136" s="35" t="s">
        <v>313</v>
      </c>
      <c r="C136" s="36">
        <v>7.6</v>
      </c>
      <c r="D136" s="37" t="s">
        <v>133</v>
      </c>
      <c r="E136" s="38"/>
      <c r="F136" s="39">
        <v>3207</v>
      </c>
      <c r="G136" s="40">
        <v>0</v>
      </c>
      <c r="H136" s="41">
        <v>2405.25</v>
      </c>
      <c r="I136" s="48">
        <v>0</v>
      </c>
    </row>
    <row r="137" spans="2:9" ht="18.75" customHeight="1" thickBot="1" x14ac:dyDescent="0.3">
      <c r="B137" s="35" t="s">
        <v>314</v>
      </c>
      <c r="C137" s="36">
        <v>13.1</v>
      </c>
      <c r="D137" s="45" t="s">
        <v>134</v>
      </c>
      <c r="E137" s="46"/>
      <c r="F137" s="39">
        <v>3949.5</v>
      </c>
      <c r="G137" s="40">
        <v>0</v>
      </c>
      <c r="H137" s="41">
        <v>2962.125</v>
      </c>
      <c r="I137" s="48">
        <v>0</v>
      </c>
    </row>
    <row r="138" spans="2:9" ht="18.75" customHeight="1" thickBot="1" x14ac:dyDescent="0.3">
      <c r="B138" s="90"/>
      <c r="C138" s="91"/>
      <c r="D138" s="91"/>
      <c r="E138" s="91"/>
      <c r="F138" s="91"/>
      <c r="G138" s="91"/>
      <c r="H138" s="91"/>
      <c r="I138" s="92"/>
    </row>
    <row r="139" spans="2:9" ht="18.75" customHeight="1" thickBot="1" x14ac:dyDescent="0.3">
      <c r="B139" s="96" t="s">
        <v>135</v>
      </c>
      <c r="C139" s="97"/>
      <c r="D139" s="97"/>
      <c r="E139" s="97"/>
      <c r="F139" s="97"/>
      <c r="G139" s="97"/>
      <c r="H139" s="97"/>
      <c r="I139" s="98"/>
    </row>
    <row r="140" spans="2:9" ht="18.75" customHeight="1" thickBot="1" x14ac:dyDescent="0.3">
      <c r="B140" s="108" t="s">
        <v>136</v>
      </c>
      <c r="C140" s="109"/>
      <c r="D140" s="109"/>
      <c r="E140" s="109"/>
      <c r="F140" s="109"/>
      <c r="G140" s="109"/>
      <c r="H140" s="109"/>
      <c r="I140" s="110"/>
    </row>
    <row r="141" spans="2:9" ht="18.75" customHeight="1" x14ac:dyDescent="0.25">
      <c r="B141" s="49" t="s">
        <v>137</v>
      </c>
      <c r="C141" s="50"/>
      <c r="D141" s="43"/>
      <c r="E141" s="43"/>
      <c r="F141" s="51"/>
      <c r="G141" s="40"/>
      <c r="H141" s="41"/>
      <c r="I141" s="48"/>
    </row>
    <row r="142" spans="2:9" ht="18.75" customHeight="1" x14ac:dyDescent="0.25">
      <c r="B142" s="35" t="s">
        <v>315</v>
      </c>
      <c r="C142" s="36">
        <v>1</v>
      </c>
      <c r="D142" s="61" t="s">
        <v>138</v>
      </c>
      <c r="E142" s="62"/>
      <c r="F142" s="39">
        <v>0</v>
      </c>
      <c r="G142" s="40">
        <v>0</v>
      </c>
      <c r="H142" s="41">
        <v>0</v>
      </c>
      <c r="I142" s="48">
        <v>0</v>
      </c>
    </row>
    <row r="143" spans="2:9" ht="18.75" customHeight="1" x14ac:dyDescent="0.25">
      <c r="B143" s="35" t="s">
        <v>316</v>
      </c>
      <c r="C143" s="36">
        <v>1</v>
      </c>
      <c r="D143" s="63" t="s">
        <v>139</v>
      </c>
      <c r="E143" s="64"/>
      <c r="F143" s="39">
        <v>0</v>
      </c>
      <c r="G143" s="40">
        <v>0</v>
      </c>
      <c r="H143" s="41">
        <v>0</v>
      </c>
      <c r="I143" s="48">
        <v>0</v>
      </c>
    </row>
    <row r="144" spans="2:9" ht="18.75" customHeight="1" x14ac:dyDescent="0.25">
      <c r="B144" s="35" t="s">
        <v>317</v>
      </c>
      <c r="C144" s="36">
        <v>1</v>
      </c>
      <c r="D144" s="63" t="s">
        <v>140</v>
      </c>
      <c r="E144" s="64"/>
      <c r="F144" s="39">
        <v>0</v>
      </c>
      <c r="G144" s="40">
        <v>0</v>
      </c>
      <c r="H144" s="41">
        <v>0</v>
      </c>
      <c r="I144" s="48">
        <v>0</v>
      </c>
    </row>
    <row r="145" spans="2:9" ht="18.75" customHeight="1" x14ac:dyDescent="0.25">
      <c r="B145" s="35" t="s">
        <v>318</v>
      </c>
      <c r="C145" s="36">
        <v>1</v>
      </c>
      <c r="D145" s="63" t="s">
        <v>141</v>
      </c>
      <c r="E145" s="64"/>
      <c r="F145" s="39">
        <v>0</v>
      </c>
      <c r="G145" s="40">
        <v>0</v>
      </c>
      <c r="H145" s="41">
        <v>0</v>
      </c>
      <c r="I145" s="48">
        <v>0</v>
      </c>
    </row>
    <row r="146" spans="2:9" ht="18.75" customHeight="1" x14ac:dyDescent="0.25">
      <c r="B146" s="35" t="s">
        <v>319</v>
      </c>
      <c r="C146" s="36">
        <v>1</v>
      </c>
      <c r="D146" s="63" t="s">
        <v>142</v>
      </c>
      <c r="E146" s="64"/>
      <c r="F146" s="39">
        <v>0</v>
      </c>
      <c r="G146" s="40">
        <v>0</v>
      </c>
      <c r="H146" s="41">
        <v>0</v>
      </c>
      <c r="I146" s="48">
        <v>0</v>
      </c>
    </row>
    <row r="147" spans="2:9" ht="18.75" customHeight="1" x14ac:dyDescent="0.25">
      <c r="B147" s="35" t="s">
        <v>320</v>
      </c>
      <c r="C147" s="36">
        <v>1</v>
      </c>
      <c r="D147" s="63" t="s">
        <v>143</v>
      </c>
      <c r="E147" s="64"/>
      <c r="F147" s="39">
        <v>0</v>
      </c>
      <c r="G147" s="40">
        <v>0</v>
      </c>
      <c r="H147" s="41">
        <v>0</v>
      </c>
      <c r="I147" s="48">
        <v>0</v>
      </c>
    </row>
    <row r="148" spans="2:9" ht="18.75" customHeight="1" x14ac:dyDescent="0.25">
      <c r="B148" s="35" t="s">
        <v>321</v>
      </c>
      <c r="C148" s="36">
        <v>1</v>
      </c>
      <c r="D148" s="63" t="s">
        <v>144</v>
      </c>
      <c r="E148" s="64"/>
      <c r="F148" s="39">
        <v>7510.5</v>
      </c>
      <c r="G148" s="40">
        <v>0</v>
      </c>
      <c r="H148" s="41">
        <v>5632.875</v>
      </c>
      <c r="I148" s="48">
        <v>0</v>
      </c>
    </row>
    <row r="149" spans="2:9" ht="18.75" customHeight="1" x14ac:dyDescent="0.25">
      <c r="B149" s="35" t="s">
        <v>322</v>
      </c>
      <c r="C149" s="36">
        <v>1</v>
      </c>
      <c r="D149" s="63" t="s">
        <v>145</v>
      </c>
      <c r="E149" s="65"/>
      <c r="F149" s="39">
        <v>0</v>
      </c>
      <c r="G149" s="40">
        <v>0</v>
      </c>
      <c r="H149" s="41">
        <v>0</v>
      </c>
      <c r="I149" s="48">
        <v>0</v>
      </c>
    </row>
    <row r="150" spans="2:9" ht="18.75" customHeight="1" x14ac:dyDescent="0.25">
      <c r="B150" s="49" t="s">
        <v>146</v>
      </c>
      <c r="C150" s="50"/>
      <c r="D150" s="43"/>
      <c r="E150" s="43"/>
      <c r="F150" s="51"/>
      <c r="G150" s="40"/>
      <c r="H150" s="41"/>
      <c r="I150" s="48"/>
    </row>
    <row r="151" spans="2:9" ht="18.75" customHeight="1" x14ac:dyDescent="0.25">
      <c r="B151" s="35" t="s">
        <v>323</v>
      </c>
      <c r="C151" s="36">
        <v>170</v>
      </c>
      <c r="D151" s="63" t="s">
        <v>147</v>
      </c>
      <c r="E151" s="62"/>
      <c r="F151" s="39">
        <v>5264.5</v>
      </c>
      <c r="G151" s="40">
        <v>0</v>
      </c>
      <c r="H151" s="41">
        <v>3948.375</v>
      </c>
      <c r="I151" s="48">
        <v>0</v>
      </c>
    </row>
    <row r="152" spans="2:9" ht="18.75" customHeight="1" x14ac:dyDescent="0.25">
      <c r="B152" s="35" t="s">
        <v>324</v>
      </c>
      <c r="C152" s="36">
        <v>1</v>
      </c>
      <c r="D152" s="63" t="s">
        <v>148</v>
      </c>
      <c r="E152" s="64"/>
      <c r="F152" s="39">
        <v>5965.5</v>
      </c>
      <c r="G152" s="40">
        <v>0</v>
      </c>
      <c r="H152" s="41">
        <v>4474.125</v>
      </c>
      <c r="I152" s="48">
        <v>0</v>
      </c>
    </row>
    <row r="153" spans="2:9" ht="18.75" customHeight="1" x14ac:dyDescent="0.25">
      <c r="B153" s="35" t="s">
        <v>325</v>
      </c>
      <c r="C153" s="36">
        <v>1</v>
      </c>
      <c r="D153" s="66" t="s">
        <v>149</v>
      </c>
      <c r="E153" s="64"/>
      <c r="F153" s="39">
        <v>6721.5</v>
      </c>
      <c r="G153" s="40">
        <v>0</v>
      </c>
      <c r="H153" s="41">
        <v>5041.125</v>
      </c>
      <c r="I153" s="48">
        <v>0</v>
      </c>
    </row>
    <row r="154" spans="2:9" ht="18.75" customHeight="1" x14ac:dyDescent="0.25">
      <c r="B154" s="35" t="s">
        <v>326</v>
      </c>
      <c r="C154" s="36">
        <v>1</v>
      </c>
      <c r="D154" s="66" t="s">
        <v>150</v>
      </c>
      <c r="E154" s="64"/>
      <c r="F154" s="39">
        <v>8105</v>
      </c>
      <c r="G154" s="40">
        <v>0</v>
      </c>
      <c r="H154" s="41">
        <v>6078.75</v>
      </c>
      <c r="I154" s="48">
        <v>0</v>
      </c>
    </row>
    <row r="155" spans="2:9" ht="18.75" customHeight="1" x14ac:dyDescent="0.25">
      <c r="B155" s="35" t="s">
        <v>327</v>
      </c>
      <c r="C155" s="36">
        <v>175</v>
      </c>
      <c r="D155" s="66" t="s">
        <v>151</v>
      </c>
      <c r="E155" s="64"/>
      <c r="F155" s="39">
        <v>5374.5</v>
      </c>
      <c r="G155" s="40">
        <v>0</v>
      </c>
      <c r="H155" s="41">
        <v>4030.875</v>
      </c>
      <c r="I155" s="48">
        <v>0</v>
      </c>
    </row>
    <row r="156" spans="2:9" ht="18.75" customHeight="1" x14ac:dyDescent="0.25">
      <c r="B156" s="35" t="s">
        <v>328</v>
      </c>
      <c r="C156" s="36">
        <v>175</v>
      </c>
      <c r="D156" s="66" t="s">
        <v>152</v>
      </c>
      <c r="E156" s="64"/>
      <c r="F156" s="39">
        <v>6590.5</v>
      </c>
      <c r="G156" s="40">
        <v>0</v>
      </c>
      <c r="H156" s="41">
        <v>4942.875</v>
      </c>
      <c r="I156" s="48">
        <v>0</v>
      </c>
    </row>
    <row r="157" spans="2:9" ht="18.75" customHeight="1" x14ac:dyDescent="0.25">
      <c r="B157" s="35" t="s">
        <v>329</v>
      </c>
      <c r="C157" s="36">
        <v>175</v>
      </c>
      <c r="D157" s="66" t="s">
        <v>153</v>
      </c>
      <c r="E157" s="64"/>
      <c r="F157" s="39">
        <v>7471.5</v>
      </c>
      <c r="G157" s="40">
        <v>0</v>
      </c>
      <c r="H157" s="41">
        <v>5603.625</v>
      </c>
      <c r="I157" s="48">
        <v>0</v>
      </c>
    </row>
    <row r="158" spans="2:9" ht="18.75" customHeight="1" thickBot="1" x14ac:dyDescent="0.3">
      <c r="B158" s="35" t="s">
        <v>330</v>
      </c>
      <c r="C158" s="36">
        <v>175</v>
      </c>
      <c r="D158" s="67" t="s">
        <v>154</v>
      </c>
      <c r="E158" s="65"/>
      <c r="F158" s="39">
        <v>9143</v>
      </c>
      <c r="G158" s="40">
        <v>0</v>
      </c>
      <c r="H158" s="41">
        <v>6857.25</v>
      </c>
      <c r="I158" s="48">
        <v>0</v>
      </c>
    </row>
    <row r="159" spans="2:9" ht="18.75" customHeight="1" thickBot="1" x14ac:dyDescent="0.3">
      <c r="B159" s="90"/>
      <c r="C159" s="91"/>
      <c r="D159" s="91"/>
      <c r="E159" s="91"/>
      <c r="F159" s="91"/>
      <c r="G159" s="91"/>
      <c r="H159" s="91"/>
      <c r="I159" s="92"/>
    </row>
    <row r="160" spans="2:9" ht="18.75" customHeight="1" thickBot="1" x14ac:dyDescent="0.3">
      <c r="B160" s="108" t="s">
        <v>155</v>
      </c>
      <c r="C160" s="109"/>
      <c r="D160" s="109"/>
      <c r="E160" s="109"/>
      <c r="F160" s="109"/>
      <c r="G160" s="109"/>
      <c r="H160" s="109"/>
      <c r="I160" s="110"/>
    </row>
    <row r="161" spans="2:9" ht="18.75" customHeight="1" x14ac:dyDescent="0.25">
      <c r="B161" s="49" t="s">
        <v>137</v>
      </c>
      <c r="C161" s="50"/>
      <c r="D161" s="43"/>
      <c r="E161" s="43"/>
      <c r="F161" s="51"/>
      <c r="G161" s="40"/>
      <c r="H161" s="41"/>
      <c r="I161" s="48"/>
    </row>
    <row r="162" spans="2:9" ht="18.75" customHeight="1" x14ac:dyDescent="0.25">
      <c r="B162" s="35" t="s">
        <v>331</v>
      </c>
      <c r="C162" s="36">
        <v>47</v>
      </c>
      <c r="D162" s="37" t="s">
        <v>156</v>
      </c>
      <c r="E162" s="38"/>
      <c r="F162" s="39">
        <v>4592.5</v>
      </c>
      <c r="G162" s="40">
        <v>0</v>
      </c>
      <c r="H162" s="41">
        <v>3444.375</v>
      </c>
      <c r="I162" s="48">
        <v>0</v>
      </c>
    </row>
    <row r="163" spans="2:9" ht="18.75" customHeight="1" x14ac:dyDescent="0.25">
      <c r="B163" s="35" t="s">
        <v>332</v>
      </c>
      <c r="C163" s="36">
        <v>56.2</v>
      </c>
      <c r="D163" s="43" t="s">
        <v>157</v>
      </c>
      <c r="E163" s="44"/>
      <c r="F163" s="39">
        <v>4789.5</v>
      </c>
      <c r="G163" s="40">
        <v>0</v>
      </c>
      <c r="H163" s="41">
        <v>3592.125</v>
      </c>
      <c r="I163" s="48">
        <v>0</v>
      </c>
    </row>
    <row r="164" spans="2:9" ht="18.75" customHeight="1" x14ac:dyDescent="0.25">
      <c r="B164" s="35" t="s">
        <v>333</v>
      </c>
      <c r="C164" s="36">
        <v>67.400000000000006</v>
      </c>
      <c r="D164" s="43" t="s">
        <v>158</v>
      </c>
      <c r="E164" s="44"/>
      <c r="F164" s="39">
        <v>4986</v>
      </c>
      <c r="G164" s="40">
        <v>0</v>
      </c>
      <c r="H164" s="41">
        <v>3739.5</v>
      </c>
      <c r="I164" s="48">
        <v>0</v>
      </c>
    </row>
    <row r="165" spans="2:9" ht="18.75" customHeight="1" x14ac:dyDescent="0.25">
      <c r="B165" s="35" t="s">
        <v>334</v>
      </c>
      <c r="C165" s="36">
        <v>87.6</v>
      </c>
      <c r="D165" s="43" t="s">
        <v>159</v>
      </c>
      <c r="E165" s="44"/>
      <c r="F165" s="39">
        <v>5182.5</v>
      </c>
      <c r="G165" s="40">
        <v>0</v>
      </c>
      <c r="H165" s="41">
        <v>3886.875</v>
      </c>
      <c r="I165" s="48">
        <v>0</v>
      </c>
    </row>
    <row r="166" spans="2:9" ht="18.75" customHeight="1" x14ac:dyDescent="0.25">
      <c r="B166" s="35" t="s">
        <v>335</v>
      </c>
      <c r="C166" s="36">
        <v>49</v>
      </c>
      <c r="D166" s="43" t="s">
        <v>160</v>
      </c>
      <c r="E166" s="44"/>
      <c r="F166" s="39">
        <v>4986</v>
      </c>
      <c r="G166" s="40">
        <v>0</v>
      </c>
      <c r="H166" s="41">
        <v>3739.5</v>
      </c>
      <c r="I166" s="48">
        <v>0</v>
      </c>
    </row>
    <row r="167" spans="2:9" ht="18.75" customHeight="1" x14ac:dyDescent="0.25">
      <c r="B167" s="35" t="s">
        <v>336</v>
      </c>
      <c r="C167" s="36">
        <v>67</v>
      </c>
      <c r="D167" s="43" t="s">
        <v>161</v>
      </c>
      <c r="E167" s="44"/>
      <c r="F167" s="39">
        <v>4660.5</v>
      </c>
      <c r="G167" s="40">
        <v>0</v>
      </c>
      <c r="H167" s="41">
        <v>3495.375</v>
      </c>
      <c r="I167" s="48">
        <v>0</v>
      </c>
    </row>
    <row r="168" spans="2:9" ht="18.75" customHeight="1" x14ac:dyDescent="0.25">
      <c r="B168" s="35" t="s">
        <v>337</v>
      </c>
      <c r="C168" s="36">
        <v>87.6</v>
      </c>
      <c r="D168" s="43" t="s">
        <v>162</v>
      </c>
      <c r="E168" s="44"/>
      <c r="F168" s="39">
        <v>5517</v>
      </c>
      <c r="G168" s="40">
        <v>0</v>
      </c>
      <c r="H168" s="41">
        <v>4137.75</v>
      </c>
      <c r="I168" s="48">
        <v>0</v>
      </c>
    </row>
    <row r="169" spans="2:9" ht="18.75" customHeight="1" thickBot="1" x14ac:dyDescent="0.3">
      <c r="B169" s="35" t="s">
        <v>338</v>
      </c>
      <c r="C169" s="36">
        <v>116.8</v>
      </c>
      <c r="D169" s="45" t="s">
        <v>163</v>
      </c>
      <c r="E169" s="46"/>
      <c r="F169" s="39">
        <v>5890.5</v>
      </c>
      <c r="G169" s="40">
        <v>0</v>
      </c>
      <c r="H169" s="41">
        <v>4417.875</v>
      </c>
      <c r="I169" s="48">
        <v>0</v>
      </c>
    </row>
    <row r="170" spans="2:9" ht="18.75" customHeight="1" thickBot="1" x14ac:dyDescent="0.3">
      <c r="B170" s="111"/>
      <c r="C170" s="112"/>
      <c r="D170" s="112"/>
      <c r="E170" s="112"/>
      <c r="F170" s="112"/>
      <c r="G170" s="112"/>
      <c r="H170" s="112"/>
      <c r="I170" s="113"/>
    </row>
    <row r="171" spans="2:9" ht="18.75" customHeight="1" x14ac:dyDescent="0.25">
      <c r="B171" s="35" t="s">
        <v>339</v>
      </c>
      <c r="C171" s="36">
        <v>47.6</v>
      </c>
      <c r="D171" s="37" t="s">
        <v>164</v>
      </c>
      <c r="E171" s="38"/>
      <c r="F171" s="39">
        <v>4592.5</v>
      </c>
      <c r="G171" s="40">
        <v>0</v>
      </c>
      <c r="H171" s="41">
        <v>3444.375</v>
      </c>
      <c r="I171" s="48">
        <v>0</v>
      </c>
    </row>
    <row r="172" spans="2:9" ht="18.75" customHeight="1" x14ac:dyDescent="0.25">
      <c r="B172" s="35" t="s">
        <v>340</v>
      </c>
      <c r="C172" s="36">
        <v>50</v>
      </c>
      <c r="D172" s="43" t="s">
        <v>165</v>
      </c>
      <c r="E172" s="44"/>
      <c r="F172" s="39">
        <v>4789.5</v>
      </c>
      <c r="G172" s="40">
        <v>0</v>
      </c>
      <c r="H172" s="41">
        <v>3592.125</v>
      </c>
      <c r="I172" s="48">
        <v>0</v>
      </c>
    </row>
    <row r="173" spans="2:9" ht="18.75" customHeight="1" x14ac:dyDescent="0.25">
      <c r="B173" s="35" t="s">
        <v>341</v>
      </c>
      <c r="C173" s="36">
        <v>70</v>
      </c>
      <c r="D173" s="43" t="s">
        <v>166</v>
      </c>
      <c r="E173" s="44"/>
      <c r="F173" s="39">
        <v>4986</v>
      </c>
      <c r="G173" s="40">
        <v>0</v>
      </c>
      <c r="H173" s="41">
        <v>3739.5</v>
      </c>
      <c r="I173" s="48">
        <v>0</v>
      </c>
    </row>
    <row r="174" spans="2:9" ht="18.75" customHeight="1" x14ac:dyDescent="0.25">
      <c r="B174" s="35" t="s">
        <v>342</v>
      </c>
      <c r="C174" s="36">
        <v>88.6</v>
      </c>
      <c r="D174" s="43" t="s">
        <v>167</v>
      </c>
      <c r="E174" s="44"/>
      <c r="F174" s="39">
        <v>5182.5</v>
      </c>
      <c r="G174" s="40">
        <v>0</v>
      </c>
      <c r="H174" s="41">
        <v>3886.875</v>
      </c>
      <c r="I174" s="48">
        <v>0</v>
      </c>
    </row>
    <row r="175" spans="2:9" ht="18.75" customHeight="1" x14ac:dyDescent="0.25">
      <c r="B175" s="35" t="s">
        <v>343</v>
      </c>
      <c r="C175" s="36">
        <v>75</v>
      </c>
      <c r="D175" s="43" t="s">
        <v>168</v>
      </c>
      <c r="E175" s="44"/>
      <c r="F175" s="39">
        <v>4986</v>
      </c>
      <c r="G175" s="40">
        <v>0</v>
      </c>
      <c r="H175" s="41">
        <v>3739.5</v>
      </c>
      <c r="I175" s="48">
        <v>0</v>
      </c>
    </row>
    <row r="176" spans="2:9" ht="18.75" customHeight="1" x14ac:dyDescent="0.25">
      <c r="B176" s="35" t="s">
        <v>344</v>
      </c>
      <c r="C176" s="36">
        <v>55</v>
      </c>
      <c r="D176" s="43" t="s">
        <v>169</v>
      </c>
      <c r="E176" s="44"/>
      <c r="F176" s="39">
        <v>4660.5</v>
      </c>
      <c r="G176" s="40">
        <v>0</v>
      </c>
      <c r="H176" s="41">
        <v>3495.375</v>
      </c>
      <c r="I176" s="48">
        <v>0</v>
      </c>
    </row>
    <row r="177" spans="2:9" ht="18.75" customHeight="1" x14ac:dyDescent="0.25">
      <c r="B177" s="35" t="s">
        <v>345</v>
      </c>
      <c r="C177" s="36">
        <v>91.2</v>
      </c>
      <c r="D177" s="43" t="s">
        <v>170</v>
      </c>
      <c r="E177" s="44"/>
      <c r="F177" s="39">
        <v>5517</v>
      </c>
      <c r="G177" s="40">
        <v>0</v>
      </c>
      <c r="H177" s="41">
        <v>4137.75</v>
      </c>
      <c r="I177" s="48">
        <v>0</v>
      </c>
    </row>
    <row r="178" spans="2:9" ht="18.75" customHeight="1" thickBot="1" x14ac:dyDescent="0.3">
      <c r="B178" s="35" t="s">
        <v>346</v>
      </c>
      <c r="C178" s="36">
        <v>100</v>
      </c>
      <c r="D178" s="45" t="s">
        <v>171</v>
      </c>
      <c r="E178" s="46"/>
      <c r="F178" s="39">
        <v>5890.5</v>
      </c>
      <c r="G178" s="40">
        <v>0</v>
      </c>
      <c r="H178" s="41">
        <v>4417.875</v>
      </c>
      <c r="I178" s="48">
        <v>0</v>
      </c>
    </row>
    <row r="179" spans="2:9" ht="18.75" customHeight="1" thickBot="1" x14ac:dyDescent="0.3">
      <c r="B179" s="90"/>
      <c r="C179" s="91"/>
      <c r="D179" s="91"/>
      <c r="E179" s="91"/>
      <c r="F179" s="91"/>
      <c r="G179" s="91"/>
      <c r="H179" s="91"/>
      <c r="I179" s="92"/>
    </row>
    <row r="180" spans="2:9" ht="18.75" customHeight="1" thickBot="1" x14ac:dyDescent="0.3">
      <c r="B180" s="96" t="s">
        <v>172</v>
      </c>
      <c r="C180" s="97"/>
      <c r="D180" s="97"/>
      <c r="E180" s="97"/>
      <c r="F180" s="97"/>
      <c r="G180" s="97"/>
      <c r="H180" s="97"/>
      <c r="I180" s="98"/>
    </row>
    <row r="181" spans="2:9" ht="18.75" customHeight="1" x14ac:dyDescent="0.25">
      <c r="B181" s="35" t="s">
        <v>347</v>
      </c>
      <c r="C181" s="36">
        <v>0</v>
      </c>
      <c r="D181" s="37" t="s">
        <v>173</v>
      </c>
      <c r="E181" s="38"/>
      <c r="F181" s="39">
        <v>1973</v>
      </c>
      <c r="G181" s="40">
        <v>0</v>
      </c>
      <c r="H181" s="41">
        <v>1479.75</v>
      </c>
      <c r="I181" s="48">
        <v>0</v>
      </c>
    </row>
    <row r="182" spans="2:9" ht="18.75" customHeight="1" x14ac:dyDescent="0.25">
      <c r="B182" s="35" t="s">
        <v>348</v>
      </c>
      <c r="C182" s="36">
        <v>0</v>
      </c>
      <c r="D182" s="45" t="s">
        <v>174</v>
      </c>
      <c r="E182" s="46"/>
      <c r="F182" s="39">
        <v>563.5</v>
      </c>
      <c r="G182" s="40">
        <v>0</v>
      </c>
      <c r="H182" s="41">
        <v>422.625</v>
      </c>
      <c r="I182" s="48">
        <v>0</v>
      </c>
    </row>
    <row r="183" spans="2:9" ht="18.75" customHeight="1" thickBot="1" x14ac:dyDescent="0.3">
      <c r="B183" s="99" t="s">
        <v>175</v>
      </c>
      <c r="C183" s="100"/>
      <c r="D183" s="100"/>
      <c r="E183" s="100"/>
      <c r="F183" s="100"/>
      <c r="G183" s="100"/>
      <c r="H183" s="100"/>
      <c r="I183" s="101"/>
    </row>
    <row r="184" spans="2:9" ht="18.75" customHeight="1" thickBot="1" x14ac:dyDescent="0.3">
      <c r="B184" s="102"/>
      <c r="C184" s="103"/>
      <c r="D184" s="103"/>
      <c r="E184" s="103"/>
      <c r="F184" s="103"/>
      <c r="G184" s="103"/>
      <c r="H184" s="103"/>
      <c r="I184" s="104"/>
    </row>
    <row r="185" spans="2:9" ht="18.75" customHeight="1" x14ac:dyDescent="0.25">
      <c r="B185" s="35" t="s">
        <v>349</v>
      </c>
      <c r="C185" s="36">
        <v>134</v>
      </c>
      <c r="D185" s="68" t="s">
        <v>176</v>
      </c>
      <c r="E185" s="38"/>
      <c r="F185" s="39">
        <v>10881</v>
      </c>
      <c r="G185" s="40">
        <v>0</v>
      </c>
      <c r="H185" s="41">
        <v>8160.75</v>
      </c>
      <c r="I185" s="48">
        <v>0</v>
      </c>
    </row>
    <row r="186" spans="2:9" ht="18.75" customHeight="1" x14ac:dyDescent="0.25">
      <c r="B186" s="35" t="s">
        <v>350</v>
      </c>
      <c r="C186" s="36">
        <v>35</v>
      </c>
      <c r="D186" s="69" t="s">
        <v>177</v>
      </c>
      <c r="E186" s="44"/>
      <c r="F186" s="39">
        <v>12403.5</v>
      </c>
      <c r="G186" s="40">
        <v>0</v>
      </c>
      <c r="H186" s="41">
        <v>9302.625</v>
      </c>
      <c r="I186" s="48">
        <v>0</v>
      </c>
    </row>
    <row r="187" spans="2:9" ht="18.75" customHeight="1" x14ac:dyDescent="0.25">
      <c r="B187" s="35" t="s">
        <v>351</v>
      </c>
      <c r="C187" s="36">
        <v>35</v>
      </c>
      <c r="D187" s="69" t="s">
        <v>178</v>
      </c>
      <c r="E187" s="44"/>
      <c r="F187" s="39">
        <v>15158</v>
      </c>
      <c r="G187" s="40">
        <v>0</v>
      </c>
      <c r="H187" s="41">
        <v>11368.5</v>
      </c>
      <c r="I187" s="48">
        <v>0</v>
      </c>
    </row>
    <row r="188" spans="2:9" ht="18.75" customHeight="1" x14ac:dyDescent="0.25">
      <c r="B188" s="35" t="s">
        <v>352</v>
      </c>
      <c r="C188" s="36">
        <v>35</v>
      </c>
      <c r="D188" s="69" t="s">
        <v>179</v>
      </c>
      <c r="E188" s="44"/>
      <c r="F188" s="39">
        <v>18114</v>
      </c>
      <c r="G188" s="40">
        <v>0</v>
      </c>
      <c r="H188" s="41">
        <v>13585.5</v>
      </c>
      <c r="I188" s="48">
        <v>0</v>
      </c>
    </row>
    <row r="189" spans="2:9" ht="18.75" customHeight="1" x14ac:dyDescent="0.25">
      <c r="B189" s="35" t="s">
        <v>353</v>
      </c>
      <c r="C189" s="36">
        <v>35</v>
      </c>
      <c r="D189" s="69" t="s">
        <v>180</v>
      </c>
      <c r="E189" s="44"/>
      <c r="F189" s="39">
        <v>20563</v>
      </c>
      <c r="G189" s="40">
        <v>0</v>
      </c>
      <c r="H189" s="41">
        <v>15422.25</v>
      </c>
      <c r="I189" s="48">
        <v>0</v>
      </c>
    </row>
    <row r="190" spans="2:9" ht="18.75" customHeight="1" x14ac:dyDescent="0.25">
      <c r="B190" s="35" t="s">
        <v>354</v>
      </c>
      <c r="C190" s="36">
        <v>35</v>
      </c>
      <c r="D190" s="69" t="s">
        <v>181</v>
      </c>
      <c r="E190" s="44"/>
      <c r="F190" s="39">
        <v>22665</v>
      </c>
      <c r="G190" s="40">
        <v>0</v>
      </c>
      <c r="H190" s="41">
        <v>16998.75</v>
      </c>
      <c r="I190" s="48">
        <v>0</v>
      </c>
    </row>
    <row r="191" spans="2:9" ht="18.75" customHeight="1" thickBot="1" x14ac:dyDescent="0.3">
      <c r="B191" s="35" t="s">
        <v>355</v>
      </c>
      <c r="C191" s="36">
        <v>35</v>
      </c>
      <c r="D191" s="69" t="s">
        <v>182</v>
      </c>
      <c r="E191" s="44"/>
      <c r="F191" s="39">
        <v>30253</v>
      </c>
      <c r="G191" s="40">
        <v>0</v>
      </c>
      <c r="H191" s="41">
        <v>22689.75</v>
      </c>
      <c r="I191" s="48">
        <v>0</v>
      </c>
    </row>
    <row r="192" spans="2:9" ht="18.75" customHeight="1" thickBot="1" x14ac:dyDescent="0.3">
      <c r="B192" s="90"/>
      <c r="C192" s="91"/>
      <c r="D192" s="91"/>
      <c r="E192" s="91"/>
      <c r="F192" s="91"/>
      <c r="G192" s="91"/>
      <c r="H192" s="91"/>
      <c r="I192" s="92"/>
    </row>
    <row r="193" spans="2:9" ht="18.75" customHeight="1" thickBot="1" x14ac:dyDescent="0.3">
      <c r="B193" s="105" t="s">
        <v>183</v>
      </c>
      <c r="C193" s="106"/>
      <c r="D193" s="106"/>
      <c r="E193" s="106"/>
      <c r="F193" s="106"/>
      <c r="G193" s="106"/>
      <c r="H193" s="106"/>
      <c r="I193" s="107"/>
    </row>
    <row r="194" spans="2:9" ht="18.75" customHeight="1" x14ac:dyDescent="0.25">
      <c r="B194" s="35" t="s">
        <v>356</v>
      </c>
      <c r="C194" s="36">
        <v>0.05</v>
      </c>
      <c r="D194" s="56" t="s">
        <v>184</v>
      </c>
      <c r="E194" s="38"/>
      <c r="F194" s="39">
        <v>95.5</v>
      </c>
      <c r="G194" s="40">
        <v>0</v>
      </c>
      <c r="H194" s="41">
        <v>71.625</v>
      </c>
      <c r="I194" s="42">
        <v>0</v>
      </c>
    </row>
    <row r="195" spans="2:9" ht="18.75" customHeight="1" x14ac:dyDescent="0.25">
      <c r="B195" s="35" t="s">
        <v>357</v>
      </c>
      <c r="C195" s="36">
        <v>0.05</v>
      </c>
      <c r="D195" s="57" t="s">
        <v>185</v>
      </c>
      <c r="E195" s="44"/>
      <c r="F195" s="39">
        <v>95.5</v>
      </c>
      <c r="G195" s="40">
        <v>0</v>
      </c>
      <c r="H195" s="41">
        <v>71.625</v>
      </c>
      <c r="I195" s="48">
        <v>0</v>
      </c>
    </row>
    <row r="196" spans="2:9" ht="18.75" customHeight="1" x14ac:dyDescent="0.25">
      <c r="B196" s="35" t="s">
        <v>358</v>
      </c>
      <c r="C196" s="36">
        <v>0.05</v>
      </c>
      <c r="D196" s="57" t="s">
        <v>186</v>
      </c>
      <c r="E196" s="44"/>
      <c r="F196" s="39">
        <v>95.5</v>
      </c>
      <c r="G196" s="40">
        <v>0</v>
      </c>
      <c r="H196" s="41">
        <v>71.625</v>
      </c>
      <c r="I196" s="48">
        <v>0</v>
      </c>
    </row>
    <row r="197" spans="2:9" ht="18.75" customHeight="1" x14ac:dyDescent="0.25">
      <c r="B197" s="35" t="s">
        <v>359</v>
      </c>
      <c r="C197" s="36">
        <v>0.05</v>
      </c>
      <c r="D197" s="57" t="s">
        <v>187</v>
      </c>
      <c r="E197" s="46"/>
      <c r="F197" s="39">
        <v>51.5</v>
      </c>
      <c r="G197" s="40">
        <v>0</v>
      </c>
      <c r="H197" s="41">
        <v>38.625</v>
      </c>
      <c r="I197" s="48">
        <v>0</v>
      </c>
    </row>
    <row r="198" spans="2:9" ht="18.75" customHeight="1" x14ac:dyDescent="0.25">
      <c r="B198" s="35" t="s">
        <v>360</v>
      </c>
      <c r="C198" s="36">
        <v>0.01</v>
      </c>
      <c r="D198" s="56" t="s">
        <v>188</v>
      </c>
      <c r="E198" s="46"/>
      <c r="F198" s="39">
        <v>51.5</v>
      </c>
      <c r="G198" s="40">
        <v>0</v>
      </c>
      <c r="H198" s="41">
        <v>38.625</v>
      </c>
      <c r="I198" s="48">
        <v>0</v>
      </c>
    </row>
    <row r="199" spans="2:9" ht="18.75" customHeight="1" thickBot="1" x14ac:dyDescent="0.3">
      <c r="B199" s="35" t="s">
        <v>361</v>
      </c>
      <c r="C199" s="36">
        <v>0.3</v>
      </c>
      <c r="D199" s="70" t="s">
        <v>189</v>
      </c>
      <c r="E199" s="46"/>
      <c r="F199" s="39">
        <v>51.5</v>
      </c>
      <c r="G199" s="40">
        <v>0</v>
      </c>
      <c r="H199" s="41">
        <v>38.625</v>
      </c>
      <c r="I199" s="71">
        <v>0</v>
      </c>
    </row>
    <row r="200" spans="2:9" ht="18.75" customHeight="1" thickBot="1" x14ac:dyDescent="0.3">
      <c r="B200" s="90"/>
      <c r="C200" s="91"/>
      <c r="D200" s="91"/>
      <c r="E200" s="91"/>
      <c r="F200" s="91"/>
      <c r="G200" s="91"/>
      <c r="H200" s="91"/>
      <c r="I200" s="92"/>
    </row>
    <row r="201" spans="2:9" ht="18.75" customHeight="1" thickBot="1" x14ac:dyDescent="0.3">
      <c r="B201" s="93" t="s">
        <v>190</v>
      </c>
      <c r="C201" s="94"/>
      <c r="D201" s="94"/>
      <c r="E201" s="94"/>
      <c r="F201" s="94"/>
      <c r="G201" s="94"/>
      <c r="H201" s="94"/>
      <c r="I201" s="95"/>
    </row>
    <row r="202" spans="2:9" ht="18.75" customHeight="1" x14ac:dyDescent="0.25">
      <c r="B202" s="35" t="s">
        <v>362</v>
      </c>
      <c r="C202" s="36">
        <v>1</v>
      </c>
      <c r="D202" s="72" t="s">
        <v>191</v>
      </c>
      <c r="E202" s="73"/>
      <c r="F202" s="39">
        <v>30</v>
      </c>
      <c r="G202" s="40">
        <v>0</v>
      </c>
      <c r="H202" s="41">
        <v>22.5</v>
      </c>
      <c r="I202" s="42">
        <v>0</v>
      </c>
    </row>
    <row r="203" spans="2:9" ht="18.75" customHeight="1" x14ac:dyDescent="0.25">
      <c r="B203" s="35" t="s">
        <v>363</v>
      </c>
      <c r="C203" s="36">
        <v>0.1</v>
      </c>
      <c r="D203" s="74" t="s">
        <v>192</v>
      </c>
      <c r="E203" s="75"/>
      <c r="F203" s="39">
        <v>30</v>
      </c>
      <c r="G203" s="40">
        <v>0</v>
      </c>
      <c r="H203" s="41">
        <v>22.5</v>
      </c>
      <c r="I203" s="42">
        <v>0</v>
      </c>
    </row>
    <row r="204" spans="2:9" ht="18.75" customHeight="1" x14ac:dyDescent="0.25">
      <c r="B204" s="35" t="s">
        <v>364</v>
      </c>
      <c r="C204" s="36">
        <v>0.01</v>
      </c>
      <c r="D204" s="57" t="s">
        <v>193</v>
      </c>
      <c r="E204" s="38"/>
      <c r="F204" s="39">
        <v>30</v>
      </c>
      <c r="G204" s="40">
        <v>0</v>
      </c>
      <c r="H204" s="41">
        <v>22.5</v>
      </c>
      <c r="I204" s="42">
        <v>0</v>
      </c>
    </row>
    <row r="205" spans="2:9" ht="18.75" customHeight="1" x14ac:dyDescent="0.25">
      <c r="B205" s="35" t="s">
        <v>365</v>
      </c>
      <c r="C205" s="36">
        <v>0.4</v>
      </c>
      <c r="D205" s="57" t="s">
        <v>194</v>
      </c>
      <c r="E205" s="44"/>
      <c r="F205" s="39">
        <v>173.5</v>
      </c>
      <c r="G205" s="40">
        <v>0</v>
      </c>
      <c r="H205" s="41">
        <v>130.125</v>
      </c>
      <c r="I205" s="42">
        <v>0</v>
      </c>
    </row>
    <row r="206" spans="2:9" ht="18.75" customHeight="1" x14ac:dyDescent="0.25">
      <c r="B206" s="35" t="s">
        <v>366</v>
      </c>
      <c r="C206" s="36">
        <v>1.85</v>
      </c>
      <c r="D206" s="57" t="s">
        <v>195</v>
      </c>
      <c r="E206" s="44"/>
      <c r="F206" s="39">
        <v>496</v>
      </c>
      <c r="G206" s="40">
        <v>0</v>
      </c>
      <c r="H206" s="41">
        <v>372</v>
      </c>
      <c r="I206" s="42">
        <v>0</v>
      </c>
    </row>
    <row r="207" spans="2:9" ht="18.75" customHeight="1" x14ac:dyDescent="0.25">
      <c r="B207" s="35" t="s">
        <v>367</v>
      </c>
      <c r="C207" s="36">
        <v>1.35</v>
      </c>
      <c r="D207" s="57" t="s">
        <v>196</v>
      </c>
      <c r="E207" s="44"/>
      <c r="F207" s="39">
        <v>455.5</v>
      </c>
      <c r="G207" s="40">
        <v>0</v>
      </c>
      <c r="H207" s="41">
        <v>341.625</v>
      </c>
      <c r="I207" s="42">
        <v>0</v>
      </c>
    </row>
    <row r="208" spans="2:9" ht="18.75" customHeight="1" x14ac:dyDescent="0.25">
      <c r="B208" s="35" t="s">
        <v>368</v>
      </c>
      <c r="C208" s="36">
        <v>0.4</v>
      </c>
      <c r="D208" s="57" t="s">
        <v>197</v>
      </c>
      <c r="E208" s="44"/>
      <c r="F208" s="39">
        <v>298</v>
      </c>
      <c r="G208" s="40">
        <v>0</v>
      </c>
      <c r="H208" s="41">
        <v>223.5</v>
      </c>
      <c r="I208" s="42">
        <v>0</v>
      </c>
    </row>
    <row r="209" spans="2:9" ht="18.75" customHeight="1" x14ac:dyDescent="0.25">
      <c r="B209" s="35" t="s">
        <v>369</v>
      </c>
      <c r="C209" s="36">
        <v>0.5</v>
      </c>
      <c r="D209" s="57" t="s">
        <v>198</v>
      </c>
      <c r="E209" s="44"/>
      <c r="F209" s="39">
        <v>101</v>
      </c>
      <c r="G209" s="40">
        <v>0</v>
      </c>
      <c r="H209" s="41">
        <v>75.75</v>
      </c>
      <c r="I209" s="42">
        <v>0</v>
      </c>
    </row>
    <row r="210" spans="2:9" ht="18.75" customHeight="1" x14ac:dyDescent="0.25">
      <c r="B210" s="35" t="s">
        <v>370</v>
      </c>
      <c r="C210" s="36">
        <v>0.61499999999999999</v>
      </c>
      <c r="D210" s="57" t="s">
        <v>199</v>
      </c>
      <c r="E210" s="44"/>
      <c r="F210" s="39">
        <v>150.5</v>
      </c>
      <c r="G210" s="40">
        <v>0</v>
      </c>
      <c r="H210" s="41">
        <v>112.875</v>
      </c>
      <c r="I210" s="42">
        <v>0</v>
      </c>
    </row>
    <row r="211" spans="2:9" ht="18.75" customHeight="1" x14ac:dyDescent="0.25">
      <c r="B211" s="35" t="s">
        <v>371</v>
      </c>
      <c r="C211" s="36">
        <v>0.192</v>
      </c>
      <c r="D211" s="57" t="s">
        <v>200</v>
      </c>
      <c r="E211" s="44"/>
      <c r="F211" s="39">
        <v>83</v>
      </c>
      <c r="G211" s="40">
        <v>0</v>
      </c>
      <c r="H211" s="41">
        <v>62.25</v>
      </c>
      <c r="I211" s="42">
        <v>0</v>
      </c>
    </row>
    <row r="212" spans="2:9" ht="18.75" customHeight="1" x14ac:dyDescent="0.25">
      <c r="B212" s="35" t="s">
        <v>372</v>
      </c>
      <c r="C212" s="36">
        <v>0.10100000000000001</v>
      </c>
      <c r="D212" s="57" t="s">
        <v>201</v>
      </c>
      <c r="E212" s="44"/>
      <c r="F212" s="39">
        <v>396.5</v>
      </c>
      <c r="G212" s="40">
        <v>0</v>
      </c>
      <c r="H212" s="41">
        <v>297.375</v>
      </c>
      <c r="I212" s="42">
        <v>0</v>
      </c>
    </row>
    <row r="213" spans="2:9" ht="18.75" customHeight="1" x14ac:dyDescent="0.25">
      <c r="B213" s="35" t="s">
        <v>373</v>
      </c>
      <c r="C213" s="36">
        <v>0.1</v>
      </c>
      <c r="D213" s="57" t="s">
        <v>202</v>
      </c>
      <c r="E213" s="44"/>
      <c r="F213" s="39">
        <v>18.5</v>
      </c>
      <c r="G213" s="40">
        <v>0</v>
      </c>
      <c r="H213" s="41">
        <v>13.875</v>
      </c>
      <c r="I213" s="42">
        <v>0</v>
      </c>
    </row>
    <row r="214" spans="2:9" ht="18.75" customHeight="1" x14ac:dyDescent="0.25">
      <c r="B214" s="35" t="s">
        <v>374</v>
      </c>
      <c r="C214" s="36">
        <v>0.1</v>
      </c>
      <c r="D214" s="57" t="s">
        <v>203</v>
      </c>
      <c r="E214" s="44"/>
      <c r="F214" s="39">
        <v>9.5</v>
      </c>
      <c r="G214" s="40">
        <v>0</v>
      </c>
      <c r="H214" s="41">
        <v>7.125</v>
      </c>
      <c r="I214" s="42">
        <v>0</v>
      </c>
    </row>
    <row r="215" spans="2:9" ht="18.75" customHeight="1" x14ac:dyDescent="0.25">
      <c r="B215" s="35" t="s">
        <v>375</v>
      </c>
      <c r="C215" s="36">
        <v>3.85</v>
      </c>
      <c r="D215" s="57" t="s">
        <v>204</v>
      </c>
      <c r="E215" s="44"/>
      <c r="F215" s="39">
        <v>5101</v>
      </c>
      <c r="G215" s="40">
        <v>0</v>
      </c>
      <c r="H215" s="41">
        <v>3825.75</v>
      </c>
      <c r="I215" s="42">
        <v>0</v>
      </c>
    </row>
    <row r="216" spans="2:9" ht="18.75" customHeight="1" x14ac:dyDescent="0.25">
      <c r="B216" s="35" t="s">
        <v>376</v>
      </c>
      <c r="C216" s="36">
        <v>1000</v>
      </c>
      <c r="D216" s="57" t="s">
        <v>205</v>
      </c>
      <c r="E216" s="44"/>
      <c r="F216" s="39">
        <v>238</v>
      </c>
      <c r="G216" s="40">
        <v>0</v>
      </c>
      <c r="H216" s="41">
        <v>178.5</v>
      </c>
      <c r="I216" s="42">
        <v>0</v>
      </c>
    </row>
    <row r="217" spans="2:9" ht="18.75" customHeight="1" x14ac:dyDescent="0.25">
      <c r="B217" s="35" t="s">
        <v>377</v>
      </c>
      <c r="C217" s="36">
        <v>0.01</v>
      </c>
      <c r="D217" s="57" t="s">
        <v>206</v>
      </c>
      <c r="E217" s="44"/>
      <c r="F217" s="39">
        <v>24</v>
      </c>
      <c r="G217" s="40">
        <v>0</v>
      </c>
      <c r="H217" s="41">
        <v>18</v>
      </c>
      <c r="I217" s="42">
        <v>0</v>
      </c>
    </row>
    <row r="218" spans="2:9" ht="18.75" customHeight="1" x14ac:dyDescent="0.25">
      <c r="B218" s="35" t="s">
        <v>378</v>
      </c>
      <c r="C218" s="36">
        <v>1.7</v>
      </c>
      <c r="D218" s="57" t="s">
        <v>207</v>
      </c>
      <c r="E218" s="44"/>
      <c r="F218" s="39">
        <v>690.5</v>
      </c>
      <c r="G218" s="40">
        <v>0</v>
      </c>
      <c r="H218" s="41">
        <v>517.875</v>
      </c>
      <c r="I218" s="42">
        <v>0</v>
      </c>
    </row>
    <row r="219" spans="2:9" ht="18.75" customHeight="1" x14ac:dyDescent="0.25">
      <c r="B219" s="35" t="s">
        <v>379</v>
      </c>
      <c r="C219" s="36">
        <v>1.85</v>
      </c>
      <c r="D219" s="57" t="s">
        <v>208</v>
      </c>
      <c r="E219" s="44"/>
      <c r="F219" s="39">
        <v>1477.5</v>
      </c>
      <c r="G219" s="40">
        <v>0</v>
      </c>
      <c r="H219" s="41">
        <v>1108.125</v>
      </c>
      <c r="I219" s="42">
        <v>0</v>
      </c>
    </row>
    <row r="220" spans="2:9" ht="18.75" customHeight="1" x14ac:dyDescent="0.25">
      <c r="B220" s="35" t="s">
        <v>380</v>
      </c>
      <c r="C220" s="36">
        <v>0.5</v>
      </c>
      <c r="D220" s="57" t="s">
        <v>209</v>
      </c>
      <c r="E220" s="44"/>
      <c r="F220" s="39">
        <v>6</v>
      </c>
      <c r="G220" s="40">
        <v>0</v>
      </c>
      <c r="H220" s="41">
        <v>4.5</v>
      </c>
      <c r="I220" s="42">
        <v>0</v>
      </c>
    </row>
    <row r="221" spans="2:9" ht="18.75" customHeight="1" x14ac:dyDescent="0.25">
      <c r="B221" s="35" t="s">
        <v>381</v>
      </c>
      <c r="C221" s="36">
        <v>0.05</v>
      </c>
      <c r="D221" s="59" t="s">
        <v>210</v>
      </c>
      <c r="E221" s="76"/>
      <c r="F221" s="39">
        <v>820.5</v>
      </c>
      <c r="G221" s="40">
        <v>0</v>
      </c>
      <c r="H221" s="41">
        <v>615.375</v>
      </c>
      <c r="I221" s="42">
        <v>0</v>
      </c>
    </row>
    <row r="222" spans="2:9" ht="18.75" customHeight="1" thickBot="1" x14ac:dyDescent="0.3">
      <c r="B222" s="35" t="s">
        <v>382</v>
      </c>
      <c r="C222" s="36">
        <v>5</v>
      </c>
      <c r="D222" s="45" t="s">
        <v>211</v>
      </c>
      <c r="E222" s="46"/>
      <c r="F222" s="39">
        <v>516.5</v>
      </c>
      <c r="G222" s="40">
        <v>0</v>
      </c>
      <c r="H222" s="41">
        <v>387.375</v>
      </c>
      <c r="I222" s="42">
        <v>0</v>
      </c>
    </row>
    <row r="223" spans="2:9" ht="18.75" customHeight="1" thickBot="1" x14ac:dyDescent="0.3">
      <c r="B223" s="90"/>
      <c r="C223" s="91"/>
      <c r="D223" s="91"/>
      <c r="E223" s="91"/>
      <c r="F223" s="91"/>
      <c r="G223" s="91"/>
      <c r="H223" s="91"/>
      <c r="I223" s="92"/>
    </row>
    <row r="224" spans="2:9" ht="18.75" customHeight="1" thickBot="1" x14ac:dyDescent="0.3">
      <c r="B224" s="96" t="s">
        <v>212</v>
      </c>
      <c r="C224" s="97"/>
      <c r="D224" s="97"/>
      <c r="E224" s="97"/>
      <c r="F224" s="97"/>
      <c r="G224" s="97"/>
      <c r="H224" s="97"/>
      <c r="I224" s="98"/>
    </row>
    <row r="225" spans="2:9" ht="18.75" customHeight="1" x14ac:dyDescent="0.25">
      <c r="B225" s="35" t="s">
        <v>383</v>
      </c>
      <c r="C225" s="36">
        <v>62</v>
      </c>
      <c r="D225" s="37" t="s">
        <v>213</v>
      </c>
      <c r="E225" s="38"/>
      <c r="F225" s="39">
        <v>5124.5</v>
      </c>
      <c r="G225" s="40">
        <v>0</v>
      </c>
      <c r="H225" s="41">
        <v>3843.375</v>
      </c>
      <c r="I225" s="42">
        <v>0</v>
      </c>
    </row>
    <row r="226" spans="2:9" ht="18.75" customHeight="1" thickBot="1" x14ac:dyDescent="0.3">
      <c r="B226" s="35" t="s">
        <v>384</v>
      </c>
      <c r="C226" s="36">
        <v>9.5</v>
      </c>
      <c r="D226" s="59" t="s">
        <v>214</v>
      </c>
      <c r="E226" s="76"/>
      <c r="F226" s="39">
        <v>5126.5</v>
      </c>
      <c r="G226" s="40">
        <v>0</v>
      </c>
      <c r="H226" s="41">
        <v>3844.875</v>
      </c>
      <c r="I226" s="48">
        <v>0</v>
      </c>
    </row>
    <row r="227" spans="2:9" ht="18.75" customHeight="1" thickBot="1" x14ac:dyDescent="0.3">
      <c r="B227" s="90"/>
      <c r="C227" s="91"/>
      <c r="D227" s="91"/>
      <c r="E227" s="91"/>
      <c r="F227" s="91"/>
      <c r="G227" s="91"/>
      <c r="H227" s="91"/>
      <c r="I227" s="92"/>
    </row>
    <row r="228" spans="2:9" ht="18.75" customHeight="1" thickBot="1" x14ac:dyDescent="0.3">
      <c r="B228" s="93" t="s">
        <v>215</v>
      </c>
      <c r="C228" s="94"/>
      <c r="D228" s="94"/>
      <c r="E228" s="94"/>
      <c r="F228" s="94"/>
      <c r="G228" s="94"/>
      <c r="H228" s="94"/>
      <c r="I228" s="95"/>
    </row>
    <row r="229" spans="2:9" ht="18.75" customHeight="1" x14ac:dyDescent="0.25">
      <c r="B229" s="77" t="s">
        <v>216</v>
      </c>
      <c r="C229" s="78" t="s">
        <v>217</v>
      </c>
      <c r="D229" s="79" t="s">
        <v>218</v>
      </c>
      <c r="E229" s="80"/>
      <c r="F229" s="81">
        <v>3000</v>
      </c>
      <c r="G229" s="40">
        <v>0</v>
      </c>
      <c r="H229" s="41">
        <v>2250</v>
      </c>
      <c r="I229" s="82">
        <v>0</v>
      </c>
    </row>
    <row r="230" spans="2:9" ht="18.75" customHeight="1" thickBot="1" x14ac:dyDescent="0.3">
      <c r="B230" s="83" t="s">
        <v>219</v>
      </c>
      <c r="C230" s="84" t="s">
        <v>217</v>
      </c>
      <c r="D230" s="85" t="s">
        <v>218</v>
      </c>
      <c r="E230" s="86"/>
      <c r="F230" s="87">
        <v>1500</v>
      </c>
      <c r="G230" s="40">
        <v>0</v>
      </c>
      <c r="H230" s="41">
        <v>1125</v>
      </c>
      <c r="I230" s="88">
        <v>0</v>
      </c>
    </row>
  </sheetData>
  <sheetProtection sheet="1" objects="1" scenarios="1"/>
  <protectedRanges>
    <protectedRange sqref="E11:E500" name="Quantity"/>
    <protectedRange sqref="G5" name="Multiplier"/>
  </protectedRanges>
  <mergeCells count="48">
    <mergeCell ref="B52:I52"/>
    <mergeCell ref="B1:C1"/>
    <mergeCell ref="B2:C2"/>
    <mergeCell ref="B9:I9"/>
    <mergeCell ref="B10:I10"/>
    <mergeCell ref="B15:I15"/>
    <mergeCell ref="B22:I22"/>
    <mergeCell ref="B27:I27"/>
    <mergeCell ref="B32:I32"/>
    <mergeCell ref="B39:I39"/>
    <mergeCell ref="B50:I50"/>
    <mergeCell ref="B51:I51"/>
    <mergeCell ref="B108:I108"/>
    <mergeCell ref="B53:I53"/>
    <mergeCell ref="B69:I69"/>
    <mergeCell ref="B70:I70"/>
    <mergeCell ref="B71:I71"/>
    <mergeCell ref="B87:I87"/>
    <mergeCell ref="B88:I88"/>
    <mergeCell ref="B97:I97"/>
    <mergeCell ref="B100:I100"/>
    <mergeCell ref="B103:I103"/>
    <mergeCell ref="B104:I104"/>
    <mergeCell ref="B107:I107"/>
    <mergeCell ref="B170:I170"/>
    <mergeCell ref="B119:I119"/>
    <mergeCell ref="B120:I120"/>
    <mergeCell ref="B124:I124"/>
    <mergeCell ref="B125:I125"/>
    <mergeCell ref="B134:I134"/>
    <mergeCell ref="B135:I135"/>
    <mergeCell ref="B138:I138"/>
    <mergeCell ref="B139:I139"/>
    <mergeCell ref="B140:I140"/>
    <mergeCell ref="B159:I159"/>
    <mergeCell ref="B160:I160"/>
    <mergeCell ref="B228:I228"/>
    <mergeCell ref="B179:I179"/>
    <mergeCell ref="B180:I180"/>
    <mergeCell ref="B183:I183"/>
    <mergeCell ref="B184:I184"/>
    <mergeCell ref="B192:I192"/>
    <mergeCell ref="B193:I193"/>
    <mergeCell ref="B200:I200"/>
    <mergeCell ref="B201:I201"/>
    <mergeCell ref="B223:I223"/>
    <mergeCell ref="B224:I224"/>
    <mergeCell ref="B227:I227"/>
  </mergeCells>
  <conditionalFormatting sqref="B1:D68 B69 B70:D86 B87 B183 B184:D1048576">
    <cfRule type="expression" dxfId="1" priority="4">
      <formula>$B1="not found"</formula>
    </cfRule>
  </conditionalFormatting>
  <conditionalFormatting sqref="B88:D182">
    <cfRule type="expression" dxfId="0" priority="1">
      <formula>$B88="not found"</formula>
    </cfRule>
  </conditionalFormatting>
  <dataValidations count="1">
    <dataValidation type="whole" allowBlank="1" showInputMessage="1" showErrorMessage="1" promptTitle="First Day Site Support" prompt="User could only enter a 1" sqref="E229" xr:uid="{947A1213-0768-4B52-8788-3E8B9889B3F7}">
      <formula1>0</formula1>
      <formula2>1</formula2>
    </dataValidation>
  </dataValidation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Configurator</vt:lpstr>
    </vt:vector>
  </TitlesOfParts>
  <Company>Victaulic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Ludwig</dc:creator>
  <cp:lastModifiedBy>Brendan Bryant</cp:lastModifiedBy>
  <dcterms:created xsi:type="dcterms:W3CDTF">2023-04-06T20:02:19Z</dcterms:created>
  <dcterms:modified xsi:type="dcterms:W3CDTF">2025-02-18T18:52:43Z</dcterms:modified>
</cp:coreProperties>
</file>